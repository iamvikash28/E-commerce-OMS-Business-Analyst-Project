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kash Verma\Downloads\Ecommerce_OMS_Project\02_Tracker\"/>
    </mc:Choice>
  </mc:AlternateContent>
  <xr:revisionPtr revIDLastSave="0" documentId="11_D5E2F8AF4B8D1D0EA390819A7990880B2D866F20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ummary" sheetId="1" r:id="rId1"/>
    <sheet name="Stakeholders" sheetId="2" r:id="rId2"/>
    <sheet name="Requirements" sheetId="3" r:id="rId3"/>
    <sheet name="User Stories" sheetId="4" r:id="rId4"/>
    <sheet name="Jira Backlog" sheetId="5" r:id="rId5"/>
    <sheet name="Sprint Plan" sheetId="6" r:id="rId6"/>
    <sheet name="UAT" sheetId="7" r:id="rId7"/>
    <sheet name="RTM" sheetId="8" r:id="rId8"/>
  </sheets>
  <definedNames>
    <definedName name="_xlnm._FilterDatabase" localSheetId="4" hidden="1">'Jira Backlog'!$A$1:$J$37</definedName>
    <definedName name="_xlnm._FilterDatabase" localSheetId="2" hidden="1">Requirements!$A$1:$E$34</definedName>
    <definedName name="_xlnm._FilterDatabase" localSheetId="7" hidden="1">RTM!$A$1:$F$26</definedName>
    <definedName name="_xlnm._FilterDatabase" localSheetId="1" hidden="1">Stakeholders!$A$1:$F$10</definedName>
    <definedName name="_xlnm._FilterDatabase" localSheetId="6" hidden="1">UAT!$A$1:$I$26</definedName>
    <definedName name="_xlnm._FilterDatabase" localSheetId="3" hidden="1">'User Stories'!$A$1:$H$18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8" l="1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F5" i="6"/>
  <c r="E5" i="6"/>
  <c r="D5" i="6"/>
  <c r="F4" i="6"/>
  <c r="E4" i="6"/>
  <c r="D4" i="6"/>
  <c r="F3" i="6"/>
  <c r="E3" i="6"/>
  <c r="D3" i="6"/>
  <c r="F2" i="6"/>
  <c r="F6" i="6" s="1"/>
  <c r="E2" i="6"/>
  <c r="E6" i="6" s="1"/>
  <c r="B7" i="1" s="1"/>
  <c r="D2" i="6"/>
  <c r="D6" i="6" s="1"/>
  <c r="B14" i="1"/>
  <c r="B13" i="1"/>
  <c r="B12" i="1"/>
  <c r="B10" i="1"/>
  <c r="B9" i="1"/>
  <c r="B11" i="1" s="1"/>
  <c r="B8" i="1"/>
  <c r="B6" i="1"/>
  <c r="B5" i="1"/>
  <c r="B4" i="1"/>
  <c r="B3" i="1"/>
</calcChain>
</file>

<file path=xl/sharedStrings.xml><?xml version="1.0" encoding="utf-8"?>
<sst xmlns="http://schemas.openxmlformats.org/spreadsheetml/2006/main" count="1000" uniqueCount="424">
  <si>
    <t>OMS BA Project - Tracking Summary</t>
  </si>
  <si>
    <t>Business requirements</t>
  </si>
  <si>
    <t>Functional requirements</t>
  </si>
  <si>
    <t>Non-functional requirements</t>
  </si>
  <si>
    <t>User stories</t>
  </si>
  <si>
    <t>Total story points (stories+tasks+bugs)</t>
  </si>
  <si>
    <t>Test cases</t>
  </si>
  <si>
    <t>Passed</t>
  </si>
  <si>
    <t>Failed</t>
  </si>
  <si>
    <t>Pass rate</t>
  </si>
  <si>
    <t>FRs with at least one test case</t>
  </si>
  <si>
    <t>Requirement coverage (FRs tested / FRs)</t>
  </si>
  <si>
    <t>Open bugs</t>
  </si>
  <si>
    <t>Sheets: Stakeholders | Requirements | User Stories | Jira Backlog | Sprint Plan | UAT | RTM</t>
  </si>
  <si>
    <t>Stakeholder</t>
  </si>
  <si>
    <t>Role</t>
  </si>
  <si>
    <t>Influence</t>
  </si>
  <si>
    <t>Interest</t>
  </si>
  <si>
    <t>Key needs / concerns</t>
  </si>
  <si>
    <t>Engagement approach</t>
  </si>
  <si>
    <t>Customer</t>
  </si>
  <si>
    <t>End user placing and tracking orders</t>
  </si>
  <si>
    <t>High</t>
  </si>
  <si>
    <t>Medium</t>
  </si>
  <si>
    <t>Fast delivery, no payment failures, clear status, easy refunds</t>
  </si>
  <si>
    <t>Keep informed (notifications); validated through surveys/UAT personas</t>
  </si>
  <si>
    <t>Customer Support</t>
  </si>
  <si>
    <t>Handles complaints and tickets</t>
  </si>
  <si>
    <t>Single view of order, fewer 'where is my order' tickets</t>
  </si>
  <si>
    <t>Consult; process owner for FR-14; UAT participant</t>
  </si>
  <si>
    <t>Operations Manager</t>
  </si>
  <si>
    <t>Owns delivery SLA and fulfilment performance</t>
  </si>
  <si>
    <t>SLA visibility, early delay alerts, carrier accountability</t>
  </si>
  <si>
    <t>Manage closely; business sponsor</t>
  </si>
  <si>
    <t>Warehouse Team</t>
  </si>
  <si>
    <t>Pick, pack, dispatch, stock counts</t>
  </si>
  <si>
    <t>Accurate stock, clear pick lists, realistic cut-off times</t>
  </si>
  <si>
    <t>Consult; UAT participant for FR-08/15</t>
  </si>
  <si>
    <t>Finance</t>
  </si>
  <si>
    <t>Payments, refunds, reconciliation</t>
  </si>
  <si>
    <t>Correct refunds, reconciliation, reduced revenue leakage</t>
  </si>
  <si>
    <t>Manage closely; sign-off on FR-13</t>
  </si>
  <si>
    <t>Product Manager</t>
  </si>
  <si>
    <t>Owns roadmap and priorities</t>
  </si>
  <si>
    <t>Business value, scope control, release timing</t>
  </si>
  <si>
    <t>Manage closely; approves BRD and backlog</t>
  </si>
  <si>
    <t>Developer</t>
  </si>
  <si>
    <t>Builds the solution</t>
  </si>
  <si>
    <t>Low</t>
  </si>
  <si>
    <t>Clear, testable requirements; stable scope</t>
  </si>
  <si>
    <t>Keep informed; refinement sessions</t>
  </si>
  <si>
    <t>QA</t>
  </si>
  <si>
    <t>Verifies the solution</t>
  </si>
  <si>
    <t>Testable acceptance criteria, traceability</t>
  </si>
  <si>
    <t>Keep informed; owns test cases and RTM execution</t>
  </si>
  <si>
    <t>Payment Gateway (external)</t>
  </si>
  <si>
    <t>Third-party payment processing</t>
  </si>
  <si>
    <t>Correct API usage, idempotency, low failure/timeouts</t>
  </si>
  <si>
    <t>Monitor; SLA/contract; integration spec</t>
  </si>
  <si>
    <t>ID</t>
  </si>
  <si>
    <t>Type</t>
  </si>
  <si>
    <t>Requirement</t>
  </si>
  <si>
    <t>Linked BR</t>
  </si>
  <si>
    <t>Priority</t>
  </si>
  <si>
    <t>BR-01</t>
  </si>
  <si>
    <t>Business Requirement</t>
  </si>
  <si>
    <t>Reduce late deliveries (baseline 24.8% delayed vs. promised date; target &lt;=10%)</t>
  </si>
  <si>
    <t>BR-02</t>
  </si>
  <si>
    <t>Recover revenue lost to failed payments (baseline 3.0% of orders lost; Net Banking 11.3% attempt failure)</t>
  </si>
  <si>
    <t>BR-03</t>
  </si>
  <si>
    <t>Make inventory accurate in real time (baseline 26% of SKUs mismatched at audit; target &lt;=5%)</t>
  </si>
  <si>
    <t>BR-04</t>
  </si>
  <si>
    <t>Give customers and staff full order-status visibility (21% of tickets are 'where is my order')</t>
  </si>
  <si>
    <t>BR-05</t>
  </si>
  <si>
    <t>Cut avoidable support tickets (baseline 1,081 tickets on 6,000 orders; target -35%)</t>
  </si>
  <si>
    <t>BR-06</t>
  </si>
  <si>
    <t>Make cancellations, returns and refunds fast and transparent (137 refunds pending; avg refund-delay ticket 4.7 days)</t>
  </si>
  <si>
    <t>FR-01</t>
  </si>
  <si>
    <t>Functional</t>
  </si>
  <si>
    <t>Create an order as 'Confirmed' only after payment success (or COD confirmation); failed payment leaves order in 'Payment Pending'.</t>
  </si>
  <si>
    <t>FR-02</t>
  </si>
  <si>
    <t>Allow payment retry and switching to an alternate method within 30 minutes without re-entering the cart; payments must be idempotent (no double charge).</t>
  </si>
  <si>
    <t>FR-03</t>
  </si>
  <si>
    <t>Check live stock and reserve quantity at checkout; release the reservation if payment fails or times out.</t>
  </si>
  <si>
    <t>FR-04</t>
  </si>
  <si>
    <t>Block checkout for out-of-stock items and offer 'Notify me' / similar products.</t>
  </si>
  <si>
    <t>FR-05</t>
  </si>
  <si>
    <t>Maintain a single order status lifecycle (Placed &gt; Confirmed &gt; Packed &gt; Shipped &gt; Out for Delivery &gt; Delivered, plus Cancelled/Returned) with a timestamp for every change.</t>
  </si>
  <si>
    <t>FR-06</t>
  </si>
  <si>
    <t>Provide a customer order-tracking page showing current status and estimated delivery date.</t>
  </si>
  <si>
    <t>FR-07</t>
  </si>
  <si>
    <t>Send proactive SMS/e-mail/WhatsApp notifications on every key status change and on any predicted delay.</t>
  </si>
  <si>
    <t>FR-08</t>
  </si>
  <si>
    <t>Auto-allocate each order to the nearest warehouse holding stock; alert the warehouse if pick/pack exceeds 24 hours.</t>
  </si>
  <si>
    <t>FR-09</t>
  </si>
  <si>
    <t>Auto-assign a carrier by pincode and performance score and ingest carrier tracking events.</t>
  </si>
  <si>
    <t>FR-10</t>
  </si>
  <si>
    <t>Flag any order at risk of missing its promised date (SLA breach) to Operations in real time.</t>
  </si>
  <si>
    <t>FR-11</t>
  </si>
  <si>
    <t>Let customers cancel self-service until the order is shipped; trigger refund automatically.</t>
  </si>
  <si>
    <t>FR-12</t>
  </si>
  <si>
    <t>Let customers raise a return request within 7 days of delivery with reason code and pickup slot.</t>
  </si>
  <si>
    <t>FR-13</t>
  </si>
  <si>
    <t>Automate refunds to the original payment source within 5 business days of return QC pass, with visible refund status.</t>
  </si>
  <si>
    <t>FR-14</t>
  </si>
  <si>
    <t>Give support agents an 'Order 360' view (payment, inventory, shipment, history) on one screen.</t>
  </si>
  <si>
    <t>FR-15</t>
  </si>
  <si>
    <t>Reconcile system stock with warehouse cycle counts and log every adjustment with a reason.</t>
  </si>
  <si>
    <t>FR-16</t>
  </si>
  <si>
    <t>Provide operations/management dashboards for order volume, SLA, cancellations, payment failures, returns and complaints.</t>
  </si>
  <si>
    <t>FR-17</t>
  </si>
  <si>
    <t>Keep an audit log of all order, payment and inventory state changes (who/what/when).</t>
  </si>
  <si>
    <t>NFR-01</t>
  </si>
  <si>
    <t>Non-Functional</t>
  </si>
  <si>
    <t>[Performance] Checkout and order-status pages respond in &lt;=2 seconds for 95% of requests at 500 concurrent users.</t>
  </si>
  <si>
    <t>NFR-02</t>
  </si>
  <si>
    <t>[Availability] 99.9% monthly uptime for order placement; planned maintenance outside 1-5 AM IST window only.</t>
  </si>
  <si>
    <t>NFR-03</t>
  </si>
  <si>
    <t>[Scalability] Handle 3x current peak order volume (festival sales) without code change.</t>
  </si>
  <si>
    <t>NFR-04</t>
  </si>
  <si>
    <t>[Security] PCI-DSS compliant payment handling; card data never stored in OMS; role-based access control.</t>
  </si>
  <si>
    <t>NFR-05</t>
  </si>
  <si>
    <t>[Data privacy] Customer PII encrypted at rest and in transit; compliant with India's DPDP Act 2023.</t>
  </si>
  <si>
    <t>NFR-06</t>
  </si>
  <si>
    <t>[Reliability] No order lost on payment-gateway or carrier API failure; retry queue with dead-letter alerts.</t>
  </si>
  <si>
    <t>NFR-07</t>
  </si>
  <si>
    <t>[Auditability] All status changes retained for 7 years and searchable by order ID.</t>
  </si>
  <si>
    <t>NFR-08</t>
  </si>
  <si>
    <t>[Usability] Customer can complete tracking/cancellation in &lt;=3 clicks; mobile-first responsive UI.</t>
  </si>
  <si>
    <t>NFR-09</t>
  </si>
  <si>
    <t>[Integration] REST APIs with versioning for payment gateway, carriers, WMS and notification services.</t>
  </si>
  <si>
    <t>NFR-10</t>
  </si>
  <si>
    <t>[Reporting latency] Dashboards refresh at most every 15 minutes.</t>
  </si>
  <si>
    <t>Story ID</t>
  </si>
  <si>
    <t>Epic</t>
  </si>
  <si>
    <t>FR</t>
  </si>
  <si>
    <t>User Story</t>
  </si>
  <si>
    <t>Acceptance Criteria</t>
  </si>
  <si>
    <t>Story Points</t>
  </si>
  <si>
    <t>Sprint</t>
  </si>
  <si>
    <t>US-01</t>
  </si>
  <si>
    <t>EP-1</t>
  </si>
  <si>
    <t>As a customer, I want my order confirmed only after my payment succeeds so that I am never charged for an order that doesn't exist.</t>
  </si>
  <si>
    <t>AC1: Given payment succeeds, when the gateway returns success, then order status = Confirmed and confirmation is sent within 1 minute.
AC2: Given payment fails, when the gateway returns failure, then order stays 'Payment Pending' and is not sent to the warehouse.</t>
  </si>
  <si>
    <t>Sprint 1</t>
  </si>
  <si>
    <t>US-02</t>
  </si>
  <si>
    <t>As a customer, I want to retry or switch my payment method after a failure so that I don't lose my cart.</t>
  </si>
  <si>
    <t>AC1: Given a failed payment, when I choose another method within 30 minutes, then the same cart and price are retained.
AC2: Given I retry twice quickly, then I am charged only once (idempotency).</t>
  </si>
  <si>
    <t>US-03</t>
  </si>
  <si>
    <t>EP-2</t>
  </si>
  <si>
    <t>As a customer, I want stock checked and held while I pay so that the item I buy is actually available.</t>
  </si>
  <si>
    <t>AC1: Given stock &gt;= quantity, when I start payment, then quantity is reserved for 15 minutes.
AC2: Given payment fails or times out, then the reservation is released automatically.</t>
  </si>
  <si>
    <t>US-04</t>
  </si>
  <si>
    <t>As a customer, I want to see out-of-stock items clearly so that I can pick an alternative or get notified.</t>
  </si>
  <si>
    <t>AC1: Given stock = 0, then 'Add to cart' is disabled and 'Notify me' is shown.
AC2: Given an item becomes out of stock during checkout, then the order is blocked with a clear message.</t>
  </si>
  <si>
    <t>US-05</t>
  </si>
  <si>
    <t>EP-3</t>
  </si>
  <si>
    <t>As an operations manager, I want a single status lifecycle with timestamps so that I can see where every order is.</t>
  </si>
  <si>
    <t>AC1: Given any status change, then the new status and timestamp are stored.
AC2: Given an invalid transition (e.g. Delivered to Packed), then the system rejects it.</t>
  </si>
  <si>
    <t>Sprint 2</t>
  </si>
  <si>
    <t>US-06</t>
  </si>
  <si>
    <t>As a customer, I want to track my order status so that I know when my order will arrive.</t>
  </si>
  <si>
    <t>AC1: Given a logged-in customer, when they open 'My Orders', then they see current status and estimated delivery date.
AC2: Given the carrier updates status, then the tracking page reflects it within 15 minutes.</t>
  </si>
  <si>
    <t>US-07</t>
  </si>
  <si>
    <t>As a customer, I want proactive updates on my order so that I don't have to contact support.</t>
  </si>
  <si>
    <t>AC1: Given a status change (Shipped, Out for Delivery, Delivered), then an SMS/e-mail is sent within 5 minutes.
AC2: Given an order is predicted to be late, then I am notified with a revised date.</t>
  </si>
  <si>
    <t>Sprint 3</t>
  </si>
  <si>
    <t>US-08</t>
  </si>
  <si>
    <t>EP-4</t>
  </si>
  <si>
    <t>As a warehouse executive, I want orders auto-allocated to the nearest stocked warehouse so that dispatch is faster.</t>
  </si>
  <si>
    <t>AC1: Given an order is confirmed, then it is assigned to the nearest warehouse with stock.
AC2: Given pick/pack is not complete in 24 hours, then the warehouse manager is alerted.</t>
  </si>
  <si>
    <t>US-09</t>
  </si>
  <si>
    <t>As an operations manager, I want carriers assigned by pincode performance so that late deliveries reduce.</t>
  </si>
  <si>
    <t>AC1: Given a shipment is created, then the carrier with the best on-time score for that pincode is assigned.
AC2: Given the carrier posts a tracking event, then it is stored against the shipment.</t>
  </si>
  <si>
    <t>US-10</t>
  </si>
  <si>
    <t>As an operations manager, I want to be alerted when an order may miss its promised date so that I can intervene.</t>
  </si>
  <si>
    <t>AC1: Given an order not shipped 48 hours after confirmation, then it is flagged 'At Risk'.
AC2: Given an order is delayed, then it appears on the Ops dashboard with the delay reason.</t>
  </si>
  <si>
    <t>US-11</t>
  </si>
  <si>
    <t>EP-5</t>
  </si>
  <si>
    <t>As a customer, I want to cancel an order before it ships so that I don't pay for something I no longer need.</t>
  </si>
  <si>
    <t>AC1: Given status is before Shipped, when I cancel, then status = Cancelled and a refund is initiated.
AC2: Given status is Shipped or later, then the Cancel button is not available.</t>
  </si>
  <si>
    <t>US-12</t>
  </si>
  <si>
    <t>As a customer, I want to raise a return request online so that I can send back a wrong or damaged item easily.</t>
  </si>
  <si>
    <t>AC1: Given an order delivered within the last 7 days, then 'Return' is available with reason selection.
AC2: Given I submit a return, then a pickup slot is confirmed.</t>
  </si>
  <si>
    <t>US-13</t>
  </si>
  <si>
    <t>As a finance executive, I want refunds automated and tracked so that customers are paid on time and books reconcile.</t>
  </si>
  <si>
    <t>AC1: Given a return passes QC, then a refund to the original source is initiated within 1 business day.
AC2: Given a refund is pending &gt; 5 business days, then it appears on the Finance exception report.</t>
  </si>
  <si>
    <t>Sprint 4</t>
  </si>
  <si>
    <t>US-14</t>
  </si>
  <si>
    <t>EP-6</t>
  </si>
  <si>
    <t>As a support agent, I want an Order 360 view so that I can resolve queries without switching systems.</t>
  </si>
  <si>
    <t>AC1: Given an order ID, then payment, inventory, shipment and history are visible on one screen.
AC2: Given I add a note, then it is logged with my user ID and time.</t>
  </si>
  <si>
    <t>US-15</t>
  </si>
  <si>
    <t>As a warehouse manager, I want stock reconciled after cycle counts so that system stock matches shelf stock.</t>
  </si>
  <si>
    <t>AC1: Given a physical count differs from system stock, then an adjustment is logged with reason and approver.
AC2: Given adjustment is approved, then available stock updates immediately.</t>
  </si>
  <si>
    <t>US-16</t>
  </si>
  <si>
    <t>As a product manager, I want an operations dashboard so that I can track SLA, cancellations, payments and returns.</t>
  </si>
  <si>
    <t>AC1: Given the dashboard is opened, then it shows the 7 agreed KPIs filtered by date, warehouse and category.
AC2: Given new data arrives, then the dashboard refreshes within 15 minutes.</t>
  </si>
  <si>
    <t>US-17</t>
  </si>
  <si>
    <t>As an auditor, I want every status change logged so that disputes can be investigated.</t>
  </si>
  <si>
    <t>AC1: Given any order, payment or inventory change, then who/what/when is logged and cannot be edited.</t>
  </si>
  <si>
    <t>Key</t>
  </si>
  <si>
    <t>Issue Type</t>
  </si>
  <si>
    <t>Parent / Linked</t>
  </si>
  <si>
    <t>Summary</t>
  </si>
  <si>
    <t>Assignee (role)</t>
  </si>
  <si>
    <t>Status</t>
  </si>
  <si>
    <t>Checkout &amp; Payment Reliability</t>
  </si>
  <si>
    <t>In Progress</t>
  </si>
  <si>
    <t>Inventory Accuracy</t>
  </si>
  <si>
    <t>Order Tracking &amp; Notifications</t>
  </si>
  <si>
    <t>Fulfilment &amp; Delivery SLA</t>
  </si>
  <si>
    <t>Cancellation, Returns &amp; Refunds</t>
  </si>
  <si>
    <t>Support Tools, Audit &amp; Analytics</t>
  </si>
  <si>
    <t>Story</t>
  </si>
  <si>
    <t>customer, I want my order confirmed only after my payment succeeds</t>
  </si>
  <si>
    <t>Dev Team</t>
  </si>
  <si>
    <t>To Do</t>
  </si>
  <si>
    <t>customer, I want to retry or switch my payment method after a failure</t>
  </si>
  <si>
    <t>customer, I want stock checked and held while I pay</t>
  </si>
  <si>
    <t>customer, I want to see out-of-stock items clearly</t>
  </si>
  <si>
    <t>operations manager, I want a single status lifecycle with timestamps</t>
  </si>
  <si>
    <t>customer, I want to track my order status</t>
  </si>
  <si>
    <t>customer, I want proactive updates on my order</t>
  </si>
  <si>
    <t>warehouse executive, I want orders auto-allocated to the nearest stocked warehouse</t>
  </si>
  <si>
    <t>operations manager, I want carriers assigned by pincode performance</t>
  </si>
  <si>
    <t>operations manager, I want to be alerted when an order may miss its promised date</t>
  </si>
  <si>
    <t>customer, I want to cancel an order before it ships</t>
  </si>
  <si>
    <t>customer, I want to raise a return request online</t>
  </si>
  <si>
    <t>finance executive, I want refunds automated and tracked</t>
  </si>
  <si>
    <t>support agent, I want an Order 360 view</t>
  </si>
  <si>
    <t>warehouse manager, I want stock reconciled after cycle counts</t>
  </si>
  <si>
    <t>product manager, I want an operations dashboard</t>
  </si>
  <si>
    <t>auditor, I want every status change logged</t>
  </si>
  <si>
    <t>TSK-01</t>
  </si>
  <si>
    <t>Task</t>
  </si>
  <si>
    <t>Define order &amp; payment state machine (BA/Dev)</t>
  </si>
  <si>
    <t>Done</t>
  </si>
  <si>
    <t>TSK-02</t>
  </si>
  <si>
    <t>Integrate payment gateway retry API and idempotency key</t>
  </si>
  <si>
    <t>TSK-03</t>
  </si>
  <si>
    <t>Build stock reservation service with 15-min expiry</t>
  </si>
  <si>
    <t>TSK-04</t>
  </si>
  <si>
    <t>Write UAT cases for payment success/failure</t>
  </si>
  <si>
    <t>TSK-05</t>
  </si>
  <si>
    <t>Design order-tracking wireframe and get PM sign-off</t>
  </si>
  <si>
    <t>Business Analyst</t>
  </si>
  <si>
    <t>TSK-06</t>
  </si>
  <si>
    <t>Document warehouse allocation rules (nearest-stock logic)</t>
  </si>
  <si>
    <t>TSK-07</t>
  </si>
  <si>
    <t>Select notification provider and approve message templates</t>
  </si>
  <si>
    <t>TSK-08</t>
  </si>
  <si>
    <t>Build KPI data model and Power BI dashboard v1</t>
  </si>
  <si>
    <t>BUG-01</t>
  </si>
  <si>
    <t>Bug</t>
  </si>
  <si>
    <t>Customer charged twice when payment retried within 5 seconds</t>
  </si>
  <si>
    <t>Critical</t>
  </si>
  <si>
    <t>Open</t>
  </si>
  <si>
    <t>BUG-02</t>
  </si>
  <si>
    <t>Reservation not released when payment times out</t>
  </si>
  <si>
    <t>BUG-03</t>
  </si>
  <si>
    <t>Tracking page shows 'Shipped' after order is delivered</t>
  </si>
  <si>
    <t>BUG-04</t>
  </si>
  <si>
    <t>Cancel button visible after order is shipped</t>
  </si>
  <si>
    <t>BUG-05</t>
  </si>
  <si>
    <t>Refund amount excludes shipping fee for cancelled orders</t>
  </si>
  <si>
    <t>Duration</t>
  </si>
  <si>
    <t>Goal</t>
  </si>
  <si>
    <t>Stories</t>
  </si>
  <si>
    <t>Total Story Points</t>
  </si>
  <si>
    <t>Bugs open</t>
  </si>
  <si>
    <t>Weeks 1-2</t>
  </si>
  <si>
    <t>Payment &amp; inventory foundation (checkout reliability)</t>
  </si>
  <si>
    <t>Weeks 3-4</t>
  </si>
  <si>
    <t>Status lifecycle, tracking page, allocation, SLA alerts</t>
  </si>
  <si>
    <t>Weeks 5-6</t>
  </si>
  <si>
    <t>Notifications, carrier assignment, cancellation, returns</t>
  </si>
  <si>
    <t>Weeks 7-8</t>
  </si>
  <si>
    <t>Refund automation, support 360, audit, dashboard, UAT &amp; go-live prep</t>
  </si>
  <si>
    <t>Total</t>
  </si>
  <si>
    <t>Test Case ID</t>
  </si>
  <si>
    <t>Scenario</t>
  </si>
  <si>
    <t>Steps / Precondition</t>
  </si>
  <si>
    <t>Expected Result</t>
  </si>
  <si>
    <t>Actual Result</t>
  </si>
  <si>
    <t>Defect ID</t>
  </si>
  <si>
    <t>TC-01</t>
  </si>
  <si>
    <t>Successful payment (UPI)</t>
  </si>
  <si>
    <t>Cart with in-stock item; pay via UPI success</t>
  </si>
  <si>
    <t>Order created, status Confirmed, confirmation sent</t>
  </si>
  <si>
    <t>Pass</t>
  </si>
  <si>
    <t>TC-02</t>
  </si>
  <si>
    <t>Failed payment</t>
  </si>
  <si>
    <t>Cart; gateway returns failure</t>
  </si>
  <si>
    <t>Order not confirmed; stays Payment Pending</t>
  </si>
  <si>
    <t>TC-03</t>
  </si>
  <si>
    <t>Retry with different method</t>
  </si>
  <si>
    <t>After TC-02 choose Credit Card within 30 min</t>
  </si>
  <si>
    <t>Same cart retained; order Confirmed on success</t>
  </si>
  <si>
    <t>Same cart retained; order Confirmed</t>
  </si>
  <si>
    <t>TC-04</t>
  </si>
  <si>
    <t>Double-click on Pay (idempotency)</t>
  </si>
  <si>
    <t>Click Pay twice within 5 seconds</t>
  </si>
  <si>
    <t>Customer charged once</t>
  </si>
  <si>
    <t>Customer charged twice</t>
  </si>
  <si>
    <t>Fail</t>
  </si>
  <si>
    <t>TC-05</t>
  </si>
  <si>
    <t>Stock reserved during payment</t>
  </si>
  <si>
    <t>Qty 1 of last unit; start payment</t>
  </si>
  <si>
    <t>Unit reserved for 15 min; second buyer sees out of stock</t>
  </si>
  <si>
    <t>Unit reserved; second buyer blocked</t>
  </si>
  <si>
    <t>TC-06</t>
  </si>
  <si>
    <t>Reservation release on timeout</t>
  </si>
  <si>
    <t>Start payment, abandon for 16 min</t>
  </si>
  <si>
    <t>Reservation released; stock available again</t>
  </si>
  <si>
    <t>Stock still shown reserved after 16 min</t>
  </si>
  <si>
    <t>TC-07</t>
  </si>
  <si>
    <t>Out-of-stock product</t>
  </si>
  <si>
    <t>Open product with stock = 0</t>
  </si>
  <si>
    <t>Order blocked; 'Notify me' shown</t>
  </si>
  <si>
    <t>TC-08</t>
  </si>
  <si>
    <t>Stock runs out during checkout</t>
  </si>
  <si>
    <t>Two users buy last unit simultaneously</t>
  </si>
  <si>
    <t>Second order blocked with message</t>
  </si>
  <si>
    <t>TC-09</t>
  </si>
  <si>
    <t>Valid status transition</t>
  </si>
  <si>
    <t>Move Packed to Shipped</t>
  </si>
  <si>
    <t>Status updated with timestamp</t>
  </si>
  <si>
    <t>TC-10</t>
  </si>
  <si>
    <t>Invalid status transition</t>
  </si>
  <si>
    <t>Try Delivered to Packed</t>
  </si>
  <si>
    <t>System rejects the change</t>
  </si>
  <si>
    <t>TC-11</t>
  </si>
  <si>
    <t>Customer tracks order</t>
  </si>
  <si>
    <t>Open My Orders for a shipped order</t>
  </si>
  <si>
    <t>Shows current status and ETA</t>
  </si>
  <si>
    <t>TC-12</t>
  </si>
  <si>
    <t>Tracking after delivery</t>
  </si>
  <si>
    <t>Carrier posts Delivered</t>
  </si>
  <si>
    <t>Tracking page shows Delivered</t>
  </si>
  <si>
    <t>Tracking page still shows Shipped</t>
  </si>
  <si>
    <t>TC-13</t>
  </si>
  <si>
    <t>Shipped notification</t>
  </si>
  <si>
    <t>Order moves to Shipped</t>
  </si>
  <si>
    <t>SMS/e-mail sent within 5 minutes</t>
  </si>
  <si>
    <t>TC-14</t>
  </si>
  <si>
    <t>Warehouse auto-allocation</t>
  </si>
  <si>
    <t>Confirm order from Delhi with stock in Delhi and Mumbai</t>
  </si>
  <si>
    <t>Assigned to Delhi warehouse</t>
  </si>
  <si>
    <t>TC-15</t>
  </si>
  <si>
    <t>Carrier assignment by pincode</t>
  </si>
  <si>
    <t>Create shipment to a pincode with carrier scores</t>
  </si>
  <si>
    <t>Best-scoring carrier assigned</t>
  </si>
  <si>
    <t>TC-16</t>
  </si>
  <si>
    <t>Delay flag</t>
  </si>
  <si>
    <t>Order Confirmed, not shipped for 49 hours</t>
  </si>
  <si>
    <t>Flagged 'At Risk' on Ops dashboard</t>
  </si>
  <si>
    <t>TC-17</t>
  </si>
  <si>
    <t>Cancel before shipment</t>
  </si>
  <si>
    <t>Cancel a Confirmed order</t>
  </si>
  <si>
    <t>Status Cancelled; refund initiated</t>
  </si>
  <si>
    <t>TC-18</t>
  </si>
  <si>
    <t>Cancel after shipment</t>
  </si>
  <si>
    <t>Open a Shipped order</t>
  </si>
  <si>
    <t>Cancel option not available</t>
  </si>
  <si>
    <t>Cancel option visible</t>
  </si>
  <si>
    <t>TC-19</t>
  </si>
  <si>
    <t>Return within window</t>
  </si>
  <si>
    <t>Delivered 3 days ago; raise return</t>
  </si>
  <si>
    <t>Return accepted; pickup slot confirmed</t>
  </si>
  <si>
    <t>TC-20</t>
  </si>
  <si>
    <t>Return outside window</t>
  </si>
  <si>
    <t>Delivered 10 days ago; raise return</t>
  </si>
  <si>
    <t>Return rejected with policy message</t>
  </si>
  <si>
    <t>TC-21</t>
  </si>
  <si>
    <t>Refund after QC pass</t>
  </si>
  <si>
    <t>Return QC = pass</t>
  </si>
  <si>
    <t>Refund to original source within 1 business day</t>
  </si>
  <si>
    <t>Refund initiated to original source</t>
  </si>
  <si>
    <t>TC-22</t>
  </si>
  <si>
    <t>Order 360 view</t>
  </si>
  <si>
    <t>Agent searches order ID</t>
  </si>
  <si>
    <t>Payment, shipment, inventory and history shown</t>
  </si>
  <si>
    <t>TC-23</t>
  </si>
  <si>
    <t>Inventory adjustment</t>
  </si>
  <si>
    <t>Cycle count differs from system</t>
  </si>
  <si>
    <t>Adjustment logged with reason/approver; stock updated</t>
  </si>
  <si>
    <t>TC-24</t>
  </si>
  <si>
    <t>Dashboard refresh</t>
  </si>
  <si>
    <t>Load new day of data</t>
  </si>
  <si>
    <t>KPIs refresh within 15 minutes</t>
  </si>
  <si>
    <t>KPIs refreshed in 9 minutes</t>
  </si>
  <si>
    <t>TC-25</t>
  </si>
  <si>
    <t>Audit log</t>
  </si>
  <si>
    <t>Change an order status</t>
  </si>
  <si>
    <t>Log entry with user, time, old and new value</t>
  </si>
  <si>
    <t>Note: UAT executed on a hypothetical prototype for portfolio purposes; actual results are illustrative to demonstrate defect logging and traceability.</t>
  </si>
  <si>
    <t>Functional Requirement</t>
  </si>
  <si>
    <t>Test Case</t>
  </si>
  <si>
    <t>Test Result (live from UAT)</t>
  </si>
  <si>
    <t>Defect</t>
  </si>
  <si>
    <t>BR-02 - Recover revenue lost to failed payments</t>
  </si>
  <si>
    <t>FR-01 - Create an order as 'Confirmed' only after payment success (or COD confirmation); failed payment leaves order in 'Payment Pending'.</t>
  </si>
  <si>
    <t>FR-02 - Allow payment retry and switching to an alternate method within 30 minutes without re-entering the cart; payments must be idempotent (no double charge).</t>
  </si>
  <si>
    <t>BR-03 - Make inventory accurate in real time</t>
  </si>
  <si>
    <t>FR-03 - Check live stock and reserve quantity at checkout; release the reservation if payment fails or times out.</t>
  </si>
  <si>
    <t>FR-04 - Block checkout for out-of-stock items and offer 'Notify me' / similar products.</t>
  </si>
  <si>
    <t>BR-04 - Give customers and staff full order-status visibility</t>
  </si>
  <si>
    <t>FR-05 - Maintain a single order status lifecycle (Placed &gt; Confirmed &gt; Packed &gt; Shipped &gt; Out for Delivery &gt; Delivered, plus Cancelled/Returned) with a timestamp for every change.</t>
  </si>
  <si>
    <t>FR-06 - Provide a customer order-tracking page showing current status and estimated delivery date.</t>
  </si>
  <si>
    <t>FR-07 - Send proactive SMS/e-mail/WhatsApp notifications on every key status change and on any predicted delay.</t>
  </si>
  <si>
    <t>BR-01 - Reduce late deliveries</t>
  </si>
  <si>
    <t>FR-08 - Auto-allocate each order to the nearest warehouse holding stock; alert the warehouse if pick/pack exceeds 24 hours.</t>
  </si>
  <si>
    <t>FR-09 - Auto-assign a carrier by pincode and performance score and ingest carrier tracking events.</t>
  </si>
  <si>
    <t>FR-10 - Flag any order at risk of missing its promised date (SLA breach) to Operations in real time.</t>
  </si>
  <si>
    <t>BR-06 - Make cancellations, returns and refunds fast and transparent</t>
  </si>
  <si>
    <t>FR-11 - Let customers cancel self-service until the order is shipped; trigger refund automatically.</t>
  </si>
  <si>
    <t>FR-12 - Let customers raise a return request within 7 days of delivery with reason code and pickup slot.</t>
  </si>
  <si>
    <t>FR-13 - Automate refunds to the original payment source within 5 business days of return QC pass, with visible refund status.</t>
  </si>
  <si>
    <t>BR-05 - Cut avoidable support tickets</t>
  </si>
  <si>
    <t>FR-14 - Give support agents an 'Order 360' view (payment, inventory, shipment, history) on one screen.</t>
  </si>
  <si>
    <t>FR-15 - Reconcile system stock with warehouse cycle counts and log every adjustment with a reason.</t>
  </si>
  <si>
    <t>FR-16 - Provide operations/management dashboards for order volume, SLA, cancellations, payment failures, returns and complaints.</t>
  </si>
  <si>
    <t>FR-17 - Keep an audit log of all order, payment and inventory state changes (who/what/when).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</si>
</sst>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>
      <selection activeCell="D11" sqref="D11"/>
    </sheetView>
  </sheetViews>
  <sheetFormatPr defaultColWidth="8.6328125" defaultRowHeight="14.5" x14ac:dyDescent="0.35"/>
  <cols>
    <col min="1" max="1" width="44" customWidth="1"/>
    <col min="2" max="2" width="14" customWidth="1"/>
  </cols>
  <sheetData>
    <row r="1" spans="1:2" ht="18" x14ac:dyDescent="0.4">
      <c r="A1" s="1" t="s">
        <v>0</v>
      </c>
    </row>
    <row r="3" spans="1:2" x14ac:dyDescent="0.35">
      <c r="A3" s="2" t="s">
        <v>1</v>
      </c>
      <c r="B3" s="3">
        <f>COUNTIF(Requirements!B:B,"Business Requirement")</f>
        <v>6</v>
      </c>
    </row>
    <row r="4" spans="1:2" x14ac:dyDescent="0.35">
      <c r="A4" s="2" t="s">
        <v>2</v>
      </c>
      <c r="B4" s="3">
        <f>COUNTIF(Requirements!B:B,"Functional")</f>
        <v>17</v>
      </c>
    </row>
    <row r="5" spans="1:2" x14ac:dyDescent="0.35">
      <c r="A5" s="2" t="s">
        <v>3</v>
      </c>
      <c r="B5" s="3">
        <f>COUNTIF(Requirements!B:B,"Non-Functional")</f>
        <v>10</v>
      </c>
    </row>
    <row r="6" spans="1:2" x14ac:dyDescent="0.35">
      <c r="A6" s="2" t="s">
        <v>4</v>
      </c>
      <c r="B6" s="3">
        <f>COUNTIF('Jira Backlog'!B:B,"Story")</f>
        <v>17</v>
      </c>
    </row>
    <row r="7" spans="1:2" x14ac:dyDescent="0.35">
      <c r="A7" s="2" t="s">
        <v>5</v>
      </c>
      <c r="B7" s="3">
        <f>'Sprint Plan'!E6</f>
        <v>139</v>
      </c>
    </row>
    <row r="8" spans="1:2" x14ac:dyDescent="0.35">
      <c r="A8" s="2" t="s">
        <v>6</v>
      </c>
      <c r="B8" s="3">
        <f>COUNTA(UAT!A2:A26)</f>
        <v>25</v>
      </c>
    </row>
    <row r="9" spans="1:2" x14ac:dyDescent="0.35">
      <c r="A9" s="2" t="s">
        <v>7</v>
      </c>
      <c r="B9" s="3">
        <f>COUNTIF(UAT!H:H,"Pass")</f>
        <v>21</v>
      </c>
    </row>
    <row r="10" spans="1:2" x14ac:dyDescent="0.35">
      <c r="A10" s="2" t="s">
        <v>8</v>
      </c>
      <c r="B10" s="3">
        <f>COUNTIF(UAT!H:H,"Fail")</f>
        <v>4</v>
      </c>
    </row>
    <row r="11" spans="1:2" x14ac:dyDescent="0.35">
      <c r="A11" s="2" t="s">
        <v>9</v>
      </c>
      <c r="B11" s="4">
        <f>B9/B8</f>
        <v>0.84</v>
      </c>
    </row>
    <row r="12" spans="1:2" x14ac:dyDescent="0.35">
      <c r="A12" s="2" t="s">
        <v>10</v>
      </c>
      <c r="B12" s="3">
        <f>SUMPRODUCT(--(COUNTIF(UAT!B2:B26,Requirements!A8:A24)&gt;0))</f>
        <v>17</v>
      </c>
    </row>
    <row r="13" spans="1:2" x14ac:dyDescent="0.35">
      <c r="A13" s="2" t="s">
        <v>11</v>
      </c>
      <c r="B13" s="4">
        <f>B12/B4</f>
        <v>1</v>
      </c>
    </row>
    <row r="14" spans="1:2" x14ac:dyDescent="0.35">
      <c r="A14" s="2" t="s">
        <v>12</v>
      </c>
      <c r="B14" s="3">
        <f>COUNTIFS('Jira Backlog'!B:B,"Bug",'Jira Backlog'!J:J,"Open")</f>
        <v>5</v>
      </c>
    </row>
    <row r="16" spans="1:2" x14ac:dyDescent="0.35">
      <c r="A16" s="5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34" customWidth="1"/>
    <col min="3" max="4" width="11" customWidth="1"/>
    <col min="5" max="5" width="50" customWidth="1"/>
    <col min="6" max="6" width="46" customWidth="1"/>
  </cols>
  <sheetData>
    <row r="1" spans="1:6" x14ac:dyDescent="0.3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25" x14ac:dyDescent="0.35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</row>
    <row r="3" spans="1:6" x14ac:dyDescent="0.35">
      <c r="A3" s="7" t="s">
        <v>26</v>
      </c>
      <c r="B3" s="7" t="s">
        <v>27</v>
      </c>
      <c r="C3" s="7" t="s">
        <v>23</v>
      </c>
      <c r="D3" s="7" t="s">
        <v>22</v>
      </c>
      <c r="E3" s="7" t="s">
        <v>28</v>
      </c>
      <c r="F3" s="7" t="s">
        <v>29</v>
      </c>
    </row>
    <row r="4" spans="1:6" ht="25" x14ac:dyDescent="0.35">
      <c r="A4" s="7" t="s">
        <v>30</v>
      </c>
      <c r="B4" s="7" t="s">
        <v>31</v>
      </c>
      <c r="C4" s="7" t="s">
        <v>22</v>
      </c>
      <c r="D4" s="7" t="s">
        <v>22</v>
      </c>
      <c r="E4" s="7" t="s">
        <v>32</v>
      </c>
      <c r="F4" s="7" t="s">
        <v>33</v>
      </c>
    </row>
    <row r="5" spans="1:6" x14ac:dyDescent="0.35">
      <c r="A5" s="7" t="s">
        <v>34</v>
      </c>
      <c r="B5" s="7" t="s">
        <v>35</v>
      </c>
      <c r="C5" s="7" t="s">
        <v>23</v>
      </c>
      <c r="D5" s="7" t="s">
        <v>22</v>
      </c>
      <c r="E5" s="7" t="s">
        <v>36</v>
      </c>
      <c r="F5" s="7" t="s">
        <v>37</v>
      </c>
    </row>
    <row r="6" spans="1:6" x14ac:dyDescent="0.35">
      <c r="A6" s="7" t="s">
        <v>38</v>
      </c>
      <c r="B6" s="7" t="s">
        <v>39</v>
      </c>
      <c r="C6" s="7" t="s">
        <v>22</v>
      </c>
      <c r="D6" s="7" t="s">
        <v>23</v>
      </c>
      <c r="E6" s="7" t="s">
        <v>40</v>
      </c>
      <c r="F6" s="7" t="s">
        <v>41</v>
      </c>
    </row>
    <row r="7" spans="1:6" x14ac:dyDescent="0.35">
      <c r="A7" s="7" t="s">
        <v>42</v>
      </c>
      <c r="B7" s="7" t="s">
        <v>43</v>
      </c>
      <c r="C7" s="7" t="s">
        <v>22</v>
      </c>
      <c r="D7" s="7" t="s">
        <v>22</v>
      </c>
      <c r="E7" s="7" t="s">
        <v>44</v>
      </c>
      <c r="F7" s="7" t="s">
        <v>45</v>
      </c>
    </row>
    <row r="8" spans="1:6" x14ac:dyDescent="0.35">
      <c r="A8" s="7" t="s">
        <v>46</v>
      </c>
      <c r="B8" s="7" t="s">
        <v>47</v>
      </c>
      <c r="C8" s="7" t="s">
        <v>48</v>
      </c>
      <c r="D8" s="7" t="s">
        <v>23</v>
      </c>
      <c r="E8" s="7" t="s">
        <v>49</v>
      </c>
      <c r="F8" s="7" t="s">
        <v>50</v>
      </c>
    </row>
    <row r="9" spans="1:6" x14ac:dyDescent="0.35">
      <c r="A9" s="7" t="s">
        <v>51</v>
      </c>
      <c r="B9" s="7" t="s">
        <v>52</v>
      </c>
      <c r="C9" s="7" t="s">
        <v>48</v>
      </c>
      <c r="D9" s="7" t="s">
        <v>23</v>
      </c>
      <c r="E9" s="7" t="s">
        <v>53</v>
      </c>
      <c r="F9" s="7" t="s">
        <v>54</v>
      </c>
    </row>
    <row r="10" spans="1:6" x14ac:dyDescent="0.35">
      <c r="A10" s="7" t="s">
        <v>55</v>
      </c>
      <c r="B10" s="7" t="s">
        <v>56</v>
      </c>
      <c r="C10" s="7" t="s">
        <v>23</v>
      </c>
      <c r="D10" s="7" t="s">
        <v>23</v>
      </c>
      <c r="E10" s="7" t="s">
        <v>57</v>
      </c>
      <c r="F10" s="7" t="s">
        <v>58</v>
      </c>
    </row>
  </sheetData>
  <autoFilter ref="A1:F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95" customWidth="1"/>
    <col min="4" max="4" width="11" customWidth="1"/>
    <col min="5" max="5" width="10" customWidth="1"/>
  </cols>
  <sheetData>
    <row r="1" spans="1:5" x14ac:dyDescent="0.3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</row>
    <row r="2" spans="1:5" x14ac:dyDescent="0.35">
      <c r="A2" s="7" t="s">
        <v>64</v>
      </c>
      <c r="B2" s="7" t="s">
        <v>65</v>
      </c>
      <c r="C2" s="7" t="s">
        <v>66</v>
      </c>
      <c r="D2" s="7"/>
      <c r="E2" s="7"/>
    </row>
    <row r="3" spans="1:5" x14ac:dyDescent="0.35">
      <c r="A3" s="7" t="s">
        <v>67</v>
      </c>
      <c r="B3" s="7" t="s">
        <v>65</v>
      </c>
      <c r="C3" s="7" t="s">
        <v>68</v>
      </c>
      <c r="D3" s="7"/>
      <c r="E3" s="7"/>
    </row>
    <row r="4" spans="1:5" x14ac:dyDescent="0.35">
      <c r="A4" s="7" t="s">
        <v>69</v>
      </c>
      <c r="B4" s="7" t="s">
        <v>65</v>
      </c>
      <c r="C4" s="7" t="s">
        <v>70</v>
      </c>
      <c r="D4" s="7"/>
      <c r="E4" s="7"/>
    </row>
    <row r="5" spans="1:5" x14ac:dyDescent="0.35">
      <c r="A5" s="7" t="s">
        <v>71</v>
      </c>
      <c r="B5" s="7" t="s">
        <v>65</v>
      </c>
      <c r="C5" s="7" t="s">
        <v>72</v>
      </c>
      <c r="D5" s="7"/>
      <c r="E5" s="7"/>
    </row>
    <row r="6" spans="1:5" x14ac:dyDescent="0.35">
      <c r="A6" s="7" t="s">
        <v>73</v>
      </c>
      <c r="B6" s="7" t="s">
        <v>65</v>
      </c>
      <c r="C6" s="7" t="s">
        <v>74</v>
      </c>
      <c r="D6" s="7"/>
      <c r="E6" s="7"/>
    </row>
    <row r="7" spans="1:5" ht="25" x14ac:dyDescent="0.35">
      <c r="A7" s="7" t="s">
        <v>75</v>
      </c>
      <c r="B7" s="7" t="s">
        <v>65</v>
      </c>
      <c r="C7" s="7" t="s">
        <v>76</v>
      </c>
      <c r="D7" s="7"/>
      <c r="E7" s="7"/>
    </row>
    <row r="8" spans="1:5" ht="25" x14ac:dyDescent="0.35">
      <c r="A8" s="7" t="s">
        <v>77</v>
      </c>
      <c r="B8" s="7" t="s">
        <v>78</v>
      </c>
      <c r="C8" s="7" t="s">
        <v>79</v>
      </c>
      <c r="D8" s="7" t="s">
        <v>67</v>
      </c>
      <c r="E8" s="7" t="s">
        <v>22</v>
      </c>
    </row>
    <row r="9" spans="1:5" ht="25" x14ac:dyDescent="0.35">
      <c r="A9" s="7" t="s">
        <v>80</v>
      </c>
      <c r="B9" s="7" t="s">
        <v>78</v>
      </c>
      <c r="C9" s="7" t="s">
        <v>81</v>
      </c>
      <c r="D9" s="7" t="s">
        <v>67</v>
      </c>
      <c r="E9" s="7" t="s">
        <v>22</v>
      </c>
    </row>
    <row r="10" spans="1:5" x14ac:dyDescent="0.35">
      <c r="A10" s="7" t="s">
        <v>82</v>
      </c>
      <c r="B10" s="7" t="s">
        <v>78</v>
      </c>
      <c r="C10" s="7" t="s">
        <v>83</v>
      </c>
      <c r="D10" s="7" t="s">
        <v>69</v>
      </c>
      <c r="E10" s="7" t="s">
        <v>22</v>
      </c>
    </row>
    <row r="11" spans="1:5" x14ac:dyDescent="0.35">
      <c r="A11" s="7" t="s">
        <v>84</v>
      </c>
      <c r="B11" s="7" t="s">
        <v>78</v>
      </c>
      <c r="C11" s="7" t="s">
        <v>85</v>
      </c>
      <c r="D11" s="7" t="s">
        <v>69</v>
      </c>
      <c r="E11" s="7" t="s">
        <v>22</v>
      </c>
    </row>
    <row r="12" spans="1:5" ht="25" x14ac:dyDescent="0.35">
      <c r="A12" s="7" t="s">
        <v>86</v>
      </c>
      <c r="B12" s="7" t="s">
        <v>78</v>
      </c>
      <c r="C12" s="7" t="s">
        <v>87</v>
      </c>
      <c r="D12" s="7" t="s">
        <v>71</v>
      </c>
      <c r="E12" s="7" t="s">
        <v>22</v>
      </c>
    </row>
    <row r="13" spans="1:5" x14ac:dyDescent="0.35">
      <c r="A13" s="7" t="s">
        <v>88</v>
      </c>
      <c r="B13" s="7" t="s">
        <v>78</v>
      </c>
      <c r="C13" s="7" t="s">
        <v>89</v>
      </c>
      <c r="D13" s="7" t="s">
        <v>71</v>
      </c>
      <c r="E13" s="7" t="s">
        <v>22</v>
      </c>
    </row>
    <row r="14" spans="1:5" x14ac:dyDescent="0.35">
      <c r="A14" s="7" t="s">
        <v>90</v>
      </c>
      <c r="B14" s="7" t="s">
        <v>78</v>
      </c>
      <c r="C14" s="7" t="s">
        <v>91</v>
      </c>
      <c r="D14" s="7" t="s">
        <v>71</v>
      </c>
      <c r="E14" s="7" t="s">
        <v>23</v>
      </c>
    </row>
    <row r="15" spans="1:5" ht="25" x14ac:dyDescent="0.35">
      <c r="A15" s="7" t="s">
        <v>92</v>
      </c>
      <c r="B15" s="7" t="s">
        <v>78</v>
      </c>
      <c r="C15" s="7" t="s">
        <v>93</v>
      </c>
      <c r="D15" s="7" t="s">
        <v>64</v>
      </c>
      <c r="E15" s="7" t="s">
        <v>22</v>
      </c>
    </row>
    <row r="16" spans="1:5" x14ac:dyDescent="0.35">
      <c r="A16" s="7" t="s">
        <v>94</v>
      </c>
      <c r="B16" s="7" t="s">
        <v>78</v>
      </c>
      <c r="C16" s="7" t="s">
        <v>95</v>
      </c>
      <c r="D16" s="7" t="s">
        <v>64</v>
      </c>
      <c r="E16" s="7" t="s">
        <v>23</v>
      </c>
    </row>
    <row r="17" spans="1:5" x14ac:dyDescent="0.35">
      <c r="A17" s="7" t="s">
        <v>96</v>
      </c>
      <c r="B17" s="7" t="s">
        <v>78</v>
      </c>
      <c r="C17" s="7" t="s">
        <v>97</v>
      </c>
      <c r="D17" s="7" t="s">
        <v>64</v>
      </c>
      <c r="E17" s="7" t="s">
        <v>22</v>
      </c>
    </row>
    <row r="18" spans="1:5" x14ac:dyDescent="0.35">
      <c r="A18" s="7" t="s">
        <v>98</v>
      </c>
      <c r="B18" s="7" t="s">
        <v>78</v>
      </c>
      <c r="C18" s="7" t="s">
        <v>99</v>
      </c>
      <c r="D18" s="7" t="s">
        <v>75</v>
      </c>
      <c r="E18" s="7" t="s">
        <v>22</v>
      </c>
    </row>
    <row r="19" spans="1:5" x14ac:dyDescent="0.35">
      <c r="A19" s="7" t="s">
        <v>100</v>
      </c>
      <c r="B19" s="7" t="s">
        <v>78</v>
      </c>
      <c r="C19" s="7" t="s">
        <v>101</v>
      </c>
      <c r="D19" s="7" t="s">
        <v>75</v>
      </c>
      <c r="E19" s="7" t="s">
        <v>23</v>
      </c>
    </row>
    <row r="20" spans="1:5" ht="25" x14ac:dyDescent="0.35">
      <c r="A20" s="7" t="s">
        <v>102</v>
      </c>
      <c r="B20" s="7" t="s">
        <v>78</v>
      </c>
      <c r="C20" s="7" t="s">
        <v>103</v>
      </c>
      <c r="D20" s="7" t="s">
        <v>75</v>
      </c>
      <c r="E20" s="7" t="s">
        <v>22</v>
      </c>
    </row>
    <row r="21" spans="1:5" x14ac:dyDescent="0.35">
      <c r="A21" s="7" t="s">
        <v>104</v>
      </c>
      <c r="B21" s="7" t="s">
        <v>78</v>
      </c>
      <c r="C21" s="7" t="s">
        <v>105</v>
      </c>
      <c r="D21" s="7" t="s">
        <v>73</v>
      </c>
      <c r="E21" s="7" t="s">
        <v>23</v>
      </c>
    </row>
    <row r="22" spans="1:5" x14ac:dyDescent="0.35">
      <c r="A22" s="7" t="s">
        <v>106</v>
      </c>
      <c r="B22" s="7" t="s">
        <v>78</v>
      </c>
      <c r="C22" s="7" t="s">
        <v>107</v>
      </c>
      <c r="D22" s="7" t="s">
        <v>69</v>
      </c>
      <c r="E22" s="7" t="s">
        <v>23</v>
      </c>
    </row>
    <row r="23" spans="1:5" ht="25" x14ac:dyDescent="0.35">
      <c r="A23" s="7" t="s">
        <v>108</v>
      </c>
      <c r="B23" s="7" t="s">
        <v>78</v>
      </c>
      <c r="C23" s="7" t="s">
        <v>109</v>
      </c>
      <c r="D23" s="7" t="s">
        <v>64</v>
      </c>
      <c r="E23" s="7" t="s">
        <v>23</v>
      </c>
    </row>
    <row r="24" spans="1:5" x14ac:dyDescent="0.35">
      <c r="A24" s="7" t="s">
        <v>110</v>
      </c>
      <c r="B24" s="7" t="s">
        <v>78</v>
      </c>
      <c r="C24" s="7" t="s">
        <v>111</v>
      </c>
      <c r="D24" s="7" t="s">
        <v>71</v>
      </c>
      <c r="E24" s="7" t="s">
        <v>48</v>
      </c>
    </row>
    <row r="25" spans="1:5" ht="25" x14ac:dyDescent="0.35">
      <c r="A25" s="7" t="s">
        <v>112</v>
      </c>
      <c r="B25" s="7" t="s">
        <v>113</v>
      </c>
      <c r="C25" s="7" t="s">
        <v>114</v>
      </c>
      <c r="D25" s="7"/>
      <c r="E25" s="7"/>
    </row>
    <row r="26" spans="1:5" x14ac:dyDescent="0.35">
      <c r="A26" s="7" t="s">
        <v>115</v>
      </c>
      <c r="B26" s="7" t="s">
        <v>113</v>
      </c>
      <c r="C26" s="7" t="s">
        <v>116</v>
      </c>
      <c r="D26" s="7"/>
      <c r="E26" s="7"/>
    </row>
    <row r="27" spans="1:5" x14ac:dyDescent="0.35">
      <c r="A27" s="7" t="s">
        <v>117</v>
      </c>
      <c r="B27" s="7" t="s">
        <v>113</v>
      </c>
      <c r="C27" s="7" t="s">
        <v>118</v>
      </c>
      <c r="D27" s="7"/>
      <c r="E27" s="7"/>
    </row>
    <row r="28" spans="1:5" x14ac:dyDescent="0.35">
      <c r="A28" s="7" t="s">
        <v>119</v>
      </c>
      <c r="B28" s="7" t="s">
        <v>113</v>
      </c>
      <c r="C28" s="7" t="s">
        <v>120</v>
      </c>
      <c r="D28" s="7"/>
      <c r="E28" s="7"/>
    </row>
    <row r="29" spans="1:5" x14ac:dyDescent="0.35">
      <c r="A29" s="7" t="s">
        <v>121</v>
      </c>
      <c r="B29" s="7" t="s">
        <v>113</v>
      </c>
      <c r="C29" s="7" t="s">
        <v>122</v>
      </c>
      <c r="D29" s="7"/>
      <c r="E29" s="7"/>
    </row>
    <row r="30" spans="1:5" x14ac:dyDescent="0.35">
      <c r="A30" s="7" t="s">
        <v>123</v>
      </c>
      <c r="B30" s="7" t="s">
        <v>113</v>
      </c>
      <c r="C30" s="7" t="s">
        <v>124</v>
      </c>
      <c r="D30" s="7"/>
      <c r="E30" s="7"/>
    </row>
    <row r="31" spans="1:5" x14ac:dyDescent="0.35">
      <c r="A31" s="7" t="s">
        <v>125</v>
      </c>
      <c r="B31" s="7" t="s">
        <v>113</v>
      </c>
      <c r="C31" s="7" t="s">
        <v>126</v>
      </c>
      <c r="D31" s="7"/>
      <c r="E31" s="7"/>
    </row>
    <row r="32" spans="1:5" x14ac:dyDescent="0.35">
      <c r="A32" s="7" t="s">
        <v>127</v>
      </c>
      <c r="B32" s="7" t="s">
        <v>113</v>
      </c>
      <c r="C32" s="7" t="s">
        <v>128</v>
      </c>
      <c r="D32" s="7"/>
      <c r="E32" s="7"/>
    </row>
    <row r="33" spans="1:5" x14ac:dyDescent="0.35">
      <c r="A33" s="7" t="s">
        <v>129</v>
      </c>
      <c r="B33" s="7" t="s">
        <v>113</v>
      </c>
      <c r="C33" s="7" t="s">
        <v>130</v>
      </c>
      <c r="D33" s="7"/>
      <c r="E33" s="7"/>
    </row>
    <row r="34" spans="1:5" x14ac:dyDescent="0.35">
      <c r="A34" s="7" t="s">
        <v>131</v>
      </c>
      <c r="B34" s="7" t="s">
        <v>113</v>
      </c>
      <c r="C34" s="7" t="s">
        <v>132</v>
      </c>
      <c r="D34" s="7"/>
      <c r="E34" s="7"/>
    </row>
  </sheetData>
  <autoFilter ref="A1:E3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3" width="8" customWidth="1"/>
    <col min="4" max="4" width="60" customWidth="1"/>
    <col min="5" max="5" width="80" customWidth="1"/>
    <col min="6" max="6" width="10" customWidth="1"/>
    <col min="7" max="7" width="8" customWidth="1"/>
    <col min="8" max="8" width="10" customWidth="1"/>
  </cols>
  <sheetData>
    <row r="1" spans="1:8" ht="26" x14ac:dyDescent="0.35">
      <c r="A1" s="6" t="s">
        <v>133</v>
      </c>
      <c r="B1" s="6" t="s">
        <v>134</v>
      </c>
      <c r="C1" s="6" t="s">
        <v>135</v>
      </c>
      <c r="D1" s="6" t="s">
        <v>136</v>
      </c>
      <c r="E1" s="6" t="s">
        <v>137</v>
      </c>
      <c r="F1" s="6" t="s">
        <v>63</v>
      </c>
      <c r="G1" s="6" t="s">
        <v>138</v>
      </c>
      <c r="H1" s="6" t="s">
        <v>139</v>
      </c>
    </row>
    <row r="2" spans="1:8" ht="50" x14ac:dyDescent="0.35">
      <c r="A2" s="7" t="s">
        <v>140</v>
      </c>
      <c r="B2" s="7" t="s">
        <v>141</v>
      </c>
      <c r="C2" s="7" t="s">
        <v>77</v>
      </c>
      <c r="D2" s="7" t="s">
        <v>142</v>
      </c>
      <c r="E2" s="7" t="s">
        <v>143</v>
      </c>
      <c r="F2" s="7" t="s">
        <v>22</v>
      </c>
      <c r="G2" s="7">
        <v>5</v>
      </c>
      <c r="H2" s="7" t="s">
        <v>144</v>
      </c>
    </row>
    <row r="3" spans="1:8" ht="37.5" x14ac:dyDescent="0.35">
      <c r="A3" s="7" t="s">
        <v>145</v>
      </c>
      <c r="B3" s="7" t="s">
        <v>141</v>
      </c>
      <c r="C3" s="7" t="s">
        <v>80</v>
      </c>
      <c r="D3" s="7" t="s">
        <v>146</v>
      </c>
      <c r="E3" s="7" t="s">
        <v>147</v>
      </c>
      <c r="F3" s="7" t="s">
        <v>22</v>
      </c>
      <c r="G3" s="7">
        <v>8</v>
      </c>
      <c r="H3" s="7" t="s">
        <v>144</v>
      </c>
    </row>
    <row r="4" spans="1:8" ht="25" x14ac:dyDescent="0.35">
      <c r="A4" s="7" t="s">
        <v>148</v>
      </c>
      <c r="B4" s="7" t="s">
        <v>149</v>
      </c>
      <c r="C4" s="7" t="s">
        <v>82</v>
      </c>
      <c r="D4" s="7" t="s">
        <v>150</v>
      </c>
      <c r="E4" s="7" t="s">
        <v>151</v>
      </c>
      <c r="F4" s="7" t="s">
        <v>22</v>
      </c>
      <c r="G4" s="7">
        <v>8</v>
      </c>
      <c r="H4" s="7" t="s">
        <v>144</v>
      </c>
    </row>
    <row r="5" spans="1:8" ht="37.5" x14ac:dyDescent="0.35">
      <c r="A5" s="7" t="s">
        <v>152</v>
      </c>
      <c r="B5" s="7" t="s">
        <v>149</v>
      </c>
      <c r="C5" s="7" t="s">
        <v>84</v>
      </c>
      <c r="D5" s="7" t="s">
        <v>153</v>
      </c>
      <c r="E5" s="7" t="s">
        <v>154</v>
      </c>
      <c r="F5" s="7" t="s">
        <v>22</v>
      </c>
      <c r="G5" s="7">
        <v>3</v>
      </c>
      <c r="H5" s="7" t="s">
        <v>144</v>
      </c>
    </row>
    <row r="6" spans="1:8" ht="25" x14ac:dyDescent="0.35">
      <c r="A6" s="7" t="s">
        <v>155</v>
      </c>
      <c r="B6" s="7" t="s">
        <v>156</v>
      </c>
      <c r="C6" s="7" t="s">
        <v>86</v>
      </c>
      <c r="D6" s="7" t="s">
        <v>157</v>
      </c>
      <c r="E6" s="7" t="s">
        <v>158</v>
      </c>
      <c r="F6" s="7" t="s">
        <v>22</v>
      </c>
      <c r="G6" s="7">
        <v>5</v>
      </c>
      <c r="H6" s="7" t="s">
        <v>159</v>
      </c>
    </row>
    <row r="7" spans="1:8" ht="37.5" x14ac:dyDescent="0.35">
      <c r="A7" s="7" t="s">
        <v>160</v>
      </c>
      <c r="B7" s="7" t="s">
        <v>156</v>
      </c>
      <c r="C7" s="7" t="s">
        <v>88</v>
      </c>
      <c r="D7" s="7" t="s">
        <v>161</v>
      </c>
      <c r="E7" s="7" t="s">
        <v>162</v>
      </c>
      <c r="F7" s="7" t="s">
        <v>22</v>
      </c>
      <c r="G7" s="7">
        <v>5</v>
      </c>
      <c r="H7" s="7" t="s">
        <v>159</v>
      </c>
    </row>
    <row r="8" spans="1:8" ht="37.5" x14ac:dyDescent="0.35">
      <c r="A8" s="7" t="s">
        <v>163</v>
      </c>
      <c r="B8" s="7" t="s">
        <v>156</v>
      </c>
      <c r="C8" s="7" t="s">
        <v>90</v>
      </c>
      <c r="D8" s="7" t="s">
        <v>164</v>
      </c>
      <c r="E8" s="7" t="s">
        <v>165</v>
      </c>
      <c r="F8" s="7" t="s">
        <v>23</v>
      </c>
      <c r="G8" s="7">
        <v>5</v>
      </c>
      <c r="H8" s="7" t="s">
        <v>166</v>
      </c>
    </row>
    <row r="9" spans="1:8" ht="25" x14ac:dyDescent="0.35">
      <c r="A9" s="7" t="s">
        <v>167</v>
      </c>
      <c r="B9" s="7" t="s">
        <v>168</v>
      </c>
      <c r="C9" s="7" t="s">
        <v>92</v>
      </c>
      <c r="D9" s="7" t="s">
        <v>169</v>
      </c>
      <c r="E9" s="7" t="s">
        <v>170</v>
      </c>
      <c r="F9" s="7" t="s">
        <v>22</v>
      </c>
      <c r="G9" s="7">
        <v>8</v>
      </c>
      <c r="H9" s="7" t="s">
        <v>159</v>
      </c>
    </row>
    <row r="10" spans="1:8" ht="37.5" x14ac:dyDescent="0.35">
      <c r="A10" s="7" t="s">
        <v>171</v>
      </c>
      <c r="B10" s="7" t="s">
        <v>168</v>
      </c>
      <c r="C10" s="7" t="s">
        <v>94</v>
      </c>
      <c r="D10" s="7" t="s">
        <v>172</v>
      </c>
      <c r="E10" s="7" t="s">
        <v>173</v>
      </c>
      <c r="F10" s="7" t="s">
        <v>23</v>
      </c>
      <c r="G10" s="7">
        <v>8</v>
      </c>
      <c r="H10" s="7" t="s">
        <v>166</v>
      </c>
    </row>
    <row r="11" spans="1:8" ht="25" x14ac:dyDescent="0.35">
      <c r="A11" s="7" t="s">
        <v>174</v>
      </c>
      <c r="B11" s="7" t="s">
        <v>168</v>
      </c>
      <c r="C11" s="7" t="s">
        <v>96</v>
      </c>
      <c r="D11" s="7" t="s">
        <v>175</v>
      </c>
      <c r="E11" s="7" t="s">
        <v>176</v>
      </c>
      <c r="F11" s="7" t="s">
        <v>22</v>
      </c>
      <c r="G11" s="7">
        <v>5</v>
      </c>
      <c r="H11" s="7" t="s">
        <v>159</v>
      </c>
    </row>
    <row r="12" spans="1:8" ht="37.5" x14ac:dyDescent="0.35">
      <c r="A12" s="7" t="s">
        <v>177</v>
      </c>
      <c r="B12" s="7" t="s">
        <v>178</v>
      </c>
      <c r="C12" s="7" t="s">
        <v>98</v>
      </c>
      <c r="D12" s="7" t="s">
        <v>179</v>
      </c>
      <c r="E12" s="7" t="s">
        <v>180</v>
      </c>
      <c r="F12" s="7" t="s">
        <v>22</v>
      </c>
      <c r="G12" s="7">
        <v>5</v>
      </c>
      <c r="H12" s="7" t="s">
        <v>166</v>
      </c>
    </row>
    <row r="13" spans="1:8" ht="37.5" x14ac:dyDescent="0.35">
      <c r="A13" s="7" t="s">
        <v>181</v>
      </c>
      <c r="B13" s="7" t="s">
        <v>178</v>
      </c>
      <c r="C13" s="7" t="s">
        <v>100</v>
      </c>
      <c r="D13" s="7" t="s">
        <v>182</v>
      </c>
      <c r="E13" s="7" t="s">
        <v>183</v>
      </c>
      <c r="F13" s="7" t="s">
        <v>23</v>
      </c>
      <c r="G13" s="7">
        <v>5</v>
      </c>
      <c r="H13" s="7" t="s">
        <v>166</v>
      </c>
    </row>
    <row r="14" spans="1:8" ht="50" x14ac:dyDescent="0.35">
      <c r="A14" s="7" t="s">
        <v>184</v>
      </c>
      <c r="B14" s="7" t="s">
        <v>178</v>
      </c>
      <c r="C14" s="7" t="s">
        <v>102</v>
      </c>
      <c r="D14" s="7" t="s">
        <v>185</v>
      </c>
      <c r="E14" s="7" t="s">
        <v>186</v>
      </c>
      <c r="F14" s="7" t="s">
        <v>22</v>
      </c>
      <c r="G14" s="7">
        <v>8</v>
      </c>
      <c r="H14" s="7" t="s">
        <v>187</v>
      </c>
    </row>
    <row r="15" spans="1:8" ht="25" x14ac:dyDescent="0.35">
      <c r="A15" s="7" t="s">
        <v>188</v>
      </c>
      <c r="B15" s="7" t="s">
        <v>189</v>
      </c>
      <c r="C15" s="7" t="s">
        <v>104</v>
      </c>
      <c r="D15" s="7" t="s">
        <v>190</v>
      </c>
      <c r="E15" s="7" t="s">
        <v>191</v>
      </c>
      <c r="F15" s="7" t="s">
        <v>23</v>
      </c>
      <c r="G15" s="7">
        <v>5</v>
      </c>
      <c r="H15" s="7" t="s">
        <v>187</v>
      </c>
    </row>
    <row r="16" spans="1:8" ht="37.5" x14ac:dyDescent="0.35">
      <c r="A16" s="7" t="s">
        <v>192</v>
      </c>
      <c r="B16" s="7" t="s">
        <v>149</v>
      </c>
      <c r="C16" s="7" t="s">
        <v>106</v>
      </c>
      <c r="D16" s="7" t="s">
        <v>193</v>
      </c>
      <c r="E16" s="7" t="s">
        <v>194</v>
      </c>
      <c r="F16" s="7" t="s">
        <v>23</v>
      </c>
      <c r="G16" s="7">
        <v>5</v>
      </c>
      <c r="H16" s="7" t="s">
        <v>187</v>
      </c>
    </row>
    <row r="17" spans="1:8" ht="37.5" x14ac:dyDescent="0.35">
      <c r="A17" s="7" t="s">
        <v>195</v>
      </c>
      <c r="B17" s="7" t="s">
        <v>189</v>
      </c>
      <c r="C17" s="7" t="s">
        <v>108</v>
      </c>
      <c r="D17" s="7" t="s">
        <v>196</v>
      </c>
      <c r="E17" s="7" t="s">
        <v>197</v>
      </c>
      <c r="F17" s="7" t="s">
        <v>23</v>
      </c>
      <c r="G17" s="7">
        <v>8</v>
      </c>
      <c r="H17" s="7" t="s">
        <v>187</v>
      </c>
    </row>
    <row r="18" spans="1:8" ht="25" x14ac:dyDescent="0.35">
      <c r="A18" s="7" t="s">
        <v>198</v>
      </c>
      <c r="B18" s="7" t="s">
        <v>189</v>
      </c>
      <c r="C18" s="7" t="s">
        <v>110</v>
      </c>
      <c r="D18" s="7" t="s">
        <v>199</v>
      </c>
      <c r="E18" s="7" t="s">
        <v>200</v>
      </c>
      <c r="F18" s="7" t="s">
        <v>48</v>
      </c>
      <c r="G18" s="7">
        <v>3</v>
      </c>
      <c r="H18" s="7" t="s">
        <v>187</v>
      </c>
    </row>
  </sheetData>
  <autoFilter ref="A1:H1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1" customWidth="1"/>
    <col min="3" max="3" width="8" customWidth="1"/>
    <col min="4" max="4" width="14" customWidth="1"/>
    <col min="5" max="5" width="80" customWidth="1"/>
    <col min="6" max="6" width="10" customWidth="1"/>
    <col min="7" max="7" width="9" customWidth="1"/>
    <col min="8" max="8" width="10" customWidth="1"/>
    <col min="9" max="9" width="18" customWidth="1"/>
    <col min="10" max="10" width="13" customWidth="1"/>
  </cols>
  <sheetData>
    <row r="1" spans="1:10" ht="26" x14ac:dyDescent="0.35">
      <c r="A1" s="6" t="s">
        <v>201</v>
      </c>
      <c r="B1" s="6" t="s">
        <v>202</v>
      </c>
      <c r="C1" s="6" t="s">
        <v>134</v>
      </c>
      <c r="D1" s="6" t="s">
        <v>203</v>
      </c>
      <c r="E1" s="6" t="s">
        <v>204</v>
      </c>
      <c r="F1" s="6" t="s">
        <v>63</v>
      </c>
      <c r="G1" s="6" t="s">
        <v>138</v>
      </c>
      <c r="H1" s="6" t="s">
        <v>139</v>
      </c>
      <c r="I1" s="6" t="s">
        <v>205</v>
      </c>
      <c r="J1" s="6" t="s">
        <v>206</v>
      </c>
    </row>
    <row r="2" spans="1:10" x14ac:dyDescent="0.35">
      <c r="A2" s="7" t="s">
        <v>141</v>
      </c>
      <c r="B2" s="7" t="s">
        <v>134</v>
      </c>
      <c r="C2" s="7" t="s">
        <v>141</v>
      </c>
      <c r="D2" s="7"/>
      <c r="E2" s="7" t="s">
        <v>207</v>
      </c>
      <c r="F2" s="7" t="s">
        <v>22</v>
      </c>
      <c r="G2" s="7"/>
      <c r="H2" s="7"/>
      <c r="I2" s="7" t="s">
        <v>42</v>
      </c>
      <c r="J2" s="7" t="s">
        <v>208</v>
      </c>
    </row>
    <row r="3" spans="1:10" x14ac:dyDescent="0.35">
      <c r="A3" s="7" t="s">
        <v>149</v>
      </c>
      <c r="B3" s="7" t="s">
        <v>134</v>
      </c>
      <c r="C3" s="7" t="s">
        <v>149</v>
      </c>
      <c r="D3" s="7"/>
      <c r="E3" s="7" t="s">
        <v>209</v>
      </c>
      <c r="F3" s="7" t="s">
        <v>22</v>
      </c>
      <c r="G3" s="7"/>
      <c r="H3" s="7"/>
      <c r="I3" s="7" t="s">
        <v>42</v>
      </c>
      <c r="J3" s="7" t="s">
        <v>208</v>
      </c>
    </row>
    <row r="4" spans="1:10" x14ac:dyDescent="0.35">
      <c r="A4" s="7" t="s">
        <v>156</v>
      </c>
      <c r="B4" s="7" t="s">
        <v>134</v>
      </c>
      <c r="C4" s="7" t="s">
        <v>156</v>
      </c>
      <c r="D4" s="7"/>
      <c r="E4" s="7" t="s">
        <v>210</v>
      </c>
      <c r="F4" s="7" t="s">
        <v>22</v>
      </c>
      <c r="G4" s="7"/>
      <c r="H4" s="7"/>
      <c r="I4" s="7" t="s">
        <v>42</v>
      </c>
      <c r="J4" s="7" t="s">
        <v>208</v>
      </c>
    </row>
    <row r="5" spans="1:10" x14ac:dyDescent="0.35">
      <c r="A5" s="7" t="s">
        <v>168</v>
      </c>
      <c r="B5" s="7" t="s">
        <v>134</v>
      </c>
      <c r="C5" s="7" t="s">
        <v>168</v>
      </c>
      <c r="D5" s="7"/>
      <c r="E5" s="7" t="s">
        <v>211</v>
      </c>
      <c r="F5" s="7" t="s">
        <v>22</v>
      </c>
      <c r="G5" s="7"/>
      <c r="H5" s="7"/>
      <c r="I5" s="7" t="s">
        <v>42</v>
      </c>
      <c r="J5" s="7" t="s">
        <v>208</v>
      </c>
    </row>
    <row r="6" spans="1:10" x14ac:dyDescent="0.35">
      <c r="A6" s="7" t="s">
        <v>178</v>
      </c>
      <c r="B6" s="7" t="s">
        <v>134</v>
      </c>
      <c r="C6" s="7" t="s">
        <v>178</v>
      </c>
      <c r="D6" s="7"/>
      <c r="E6" s="7" t="s">
        <v>212</v>
      </c>
      <c r="F6" s="7" t="s">
        <v>22</v>
      </c>
      <c r="G6" s="7"/>
      <c r="H6" s="7"/>
      <c r="I6" s="7" t="s">
        <v>42</v>
      </c>
      <c r="J6" s="7" t="s">
        <v>208</v>
      </c>
    </row>
    <row r="7" spans="1:10" x14ac:dyDescent="0.35">
      <c r="A7" s="7" t="s">
        <v>189</v>
      </c>
      <c r="B7" s="7" t="s">
        <v>134</v>
      </c>
      <c r="C7" s="7" t="s">
        <v>189</v>
      </c>
      <c r="D7" s="7"/>
      <c r="E7" s="7" t="s">
        <v>213</v>
      </c>
      <c r="F7" s="7" t="s">
        <v>22</v>
      </c>
      <c r="G7" s="7"/>
      <c r="H7" s="7"/>
      <c r="I7" s="7" t="s">
        <v>42</v>
      </c>
      <c r="J7" s="7" t="s">
        <v>208</v>
      </c>
    </row>
    <row r="8" spans="1:10" x14ac:dyDescent="0.35">
      <c r="A8" s="7" t="s">
        <v>140</v>
      </c>
      <c r="B8" s="7" t="s">
        <v>214</v>
      </c>
      <c r="C8" s="7" t="s">
        <v>141</v>
      </c>
      <c r="D8" s="7" t="s">
        <v>77</v>
      </c>
      <c r="E8" s="7" t="s">
        <v>215</v>
      </c>
      <c r="F8" s="7" t="s">
        <v>22</v>
      </c>
      <c r="G8" s="7">
        <v>5</v>
      </c>
      <c r="H8" s="7" t="s">
        <v>144</v>
      </c>
      <c r="I8" s="7" t="s">
        <v>216</v>
      </c>
      <c r="J8" s="7" t="s">
        <v>217</v>
      </c>
    </row>
    <row r="9" spans="1:10" x14ac:dyDescent="0.35">
      <c r="A9" s="7" t="s">
        <v>145</v>
      </c>
      <c r="B9" s="7" t="s">
        <v>214</v>
      </c>
      <c r="C9" s="7" t="s">
        <v>141</v>
      </c>
      <c r="D9" s="7" t="s">
        <v>80</v>
      </c>
      <c r="E9" s="7" t="s">
        <v>218</v>
      </c>
      <c r="F9" s="7" t="s">
        <v>22</v>
      </c>
      <c r="G9" s="7">
        <v>8</v>
      </c>
      <c r="H9" s="7" t="s">
        <v>144</v>
      </c>
      <c r="I9" s="7" t="s">
        <v>216</v>
      </c>
      <c r="J9" s="7" t="s">
        <v>217</v>
      </c>
    </row>
    <row r="10" spans="1:10" x14ac:dyDescent="0.35">
      <c r="A10" s="7" t="s">
        <v>148</v>
      </c>
      <c r="B10" s="7" t="s">
        <v>214</v>
      </c>
      <c r="C10" s="7" t="s">
        <v>149</v>
      </c>
      <c r="D10" s="7" t="s">
        <v>82</v>
      </c>
      <c r="E10" s="7" t="s">
        <v>219</v>
      </c>
      <c r="F10" s="7" t="s">
        <v>22</v>
      </c>
      <c r="G10" s="7">
        <v>8</v>
      </c>
      <c r="H10" s="7" t="s">
        <v>144</v>
      </c>
      <c r="I10" s="7" t="s">
        <v>216</v>
      </c>
      <c r="J10" s="7" t="s">
        <v>217</v>
      </c>
    </row>
    <row r="11" spans="1:10" x14ac:dyDescent="0.35">
      <c r="A11" s="7" t="s">
        <v>152</v>
      </c>
      <c r="B11" s="7" t="s">
        <v>214</v>
      </c>
      <c r="C11" s="7" t="s">
        <v>149</v>
      </c>
      <c r="D11" s="7" t="s">
        <v>84</v>
      </c>
      <c r="E11" s="7" t="s">
        <v>220</v>
      </c>
      <c r="F11" s="7" t="s">
        <v>22</v>
      </c>
      <c r="G11" s="7">
        <v>3</v>
      </c>
      <c r="H11" s="7" t="s">
        <v>144</v>
      </c>
      <c r="I11" s="7" t="s">
        <v>216</v>
      </c>
      <c r="J11" s="7" t="s">
        <v>217</v>
      </c>
    </row>
    <row r="12" spans="1:10" x14ac:dyDescent="0.35">
      <c r="A12" s="7" t="s">
        <v>155</v>
      </c>
      <c r="B12" s="7" t="s">
        <v>214</v>
      </c>
      <c r="C12" s="7" t="s">
        <v>156</v>
      </c>
      <c r="D12" s="7" t="s">
        <v>86</v>
      </c>
      <c r="E12" s="7" t="s">
        <v>221</v>
      </c>
      <c r="F12" s="7" t="s">
        <v>22</v>
      </c>
      <c r="G12" s="7">
        <v>5</v>
      </c>
      <c r="H12" s="7" t="s">
        <v>159</v>
      </c>
      <c r="I12" s="7" t="s">
        <v>216</v>
      </c>
      <c r="J12" s="7" t="s">
        <v>217</v>
      </c>
    </row>
    <row r="13" spans="1:10" x14ac:dyDescent="0.35">
      <c r="A13" s="7" t="s">
        <v>160</v>
      </c>
      <c r="B13" s="7" t="s">
        <v>214</v>
      </c>
      <c r="C13" s="7" t="s">
        <v>156</v>
      </c>
      <c r="D13" s="7" t="s">
        <v>88</v>
      </c>
      <c r="E13" s="7" t="s">
        <v>222</v>
      </c>
      <c r="F13" s="7" t="s">
        <v>22</v>
      </c>
      <c r="G13" s="7">
        <v>5</v>
      </c>
      <c r="H13" s="7" t="s">
        <v>159</v>
      </c>
      <c r="I13" s="7" t="s">
        <v>216</v>
      </c>
      <c r="J13" s="7" t="s">
        <v>217</v>
      </c>
    </row>
    <row r="14" spans="1:10" x14ac:dyDescent="0.35">
      <c r="A14" s="7" t="s">
        <v>163</v>
      </c>
      <c r="B14" s="7" t="s">
        <v>214</v>
      </c>
      <c r="C14" s="7" t="s">
        <v>156</v>
      </c>
      <c r="D14" s="7" t="s">
        <v>90</v>
      </c>
      <c r="E14" s="7" t="s">
        <v>223</v>
      </c>
      <c r="F14" s="7" t="s">
        <v>23</v>
      </c>
      <c r="G14" s="7">
        <v>5</v>
      </c>
      <c r="H14" s="7" t="s">
        <v>166</v>
      </c>
      <c r="I14" s="7" t="s">
        <v>216</v>
      </c>
      <c r="J14" s="7" t="s">
        <v>217</v>
      </c>
    </row>
    <row r="15" spans="1:10" x14ac:dyDescent="0.35">
      <c r="A15" s="7" t="s">
        <v>167</v>
      </c>
      <c r="B15" s="7" t="s">
        <v>214</v>
      </c>
      <c r="C15" s="7" t="s">
        <v>168</v>
      </c>
      <c r="D15" s="7" t="s">
        <v>92</v>
      </c>
      <c r="E15" s="7" t="s">
        <v>224</v>
      </c>
      <c r="F15" s="7" t="s">
        <v>22</v>
      </c>
      <c r="G15" s="7">
        <v>8</v>
      </c>
      <c r="H15" s="7" t="s">
        <v>159</v>
      </c>
      <c r="I15" s="7" t="s">
        <v>216</v>
      </c>
      <c r="J15" s="7" t="s">
        <v>217</v>
      </c>
    </row>
    <row r="16" spans="1:10" x14ac:dyDescent="0.35">
      <c r="A16" s="7" t="s">
        <v>171</v>
      </c>
      <c r="B16" s="7" t="s">
        <v>214</v>
      </c>
      <c r="C16" s="7" t="s">
        <v>168</v>
      </c>
      <c r="D16" s="7" t="s">
        <v>94</v>
      </c>
      <c r="E16" s="7" t="s">
        <v>225</v>
      </c>
      <c r="F16" s="7" t="s">
        <v>23</v>
      </c>
      <c r="G16" s="7">
        <v>8</v>
      </c>
      <c r="H16" s="7" t="s">
        <v>166</v>
      </c>
      <c r="I16" s="7" t="s">
        <v>216</v>
      </c>
      <c r="J16" s="7" t="s">
        <v>217</v>
      </c>
    </row>
    <row r="17" spans="1:10" x14ac:dyDescent="0.35">
      <c r="A17" s="7" t="s">
        <v>174</v>
      </c>
      <c r="B17" s="7" t="s">
        <v>214</v>
      </c>
      <c r="C17" s="7" t="s">
        <v>168</v>
      </c>
      <c r="D17" s="7" t="s">
        <v>96</v>
      </c>
      <c r="E17" s="7" t="s">
        <v>226</v>
      </c>
      <c r="F17" s="7" t="s">
        <v>22</v>
      </c>
      <c r="G17" s="7">
        <v>5</v>
      </c>
      <c r="H17" s="7" t="s">
        <v>159</v>
      </c>
      <c r="I17" s="7" t="s">
        <v>216</v>
      </c>
      <c r="J17" s="7" t="s">
        <v>217</v>
      </c>
    </row>
    <row r="18" spans="1:10" x14ac:dyDescent="0.35">
      <c r="A18" s="7" t="s">
        <v>177</v>
      </c>
      <c r="B18" s="7" t="s">
        <v>214</v>
      </c>
      <c r="C18" s="7" t="s">
        <v>178</v>
      </c>
      <c r="D18" s="7" t="s">
        <v>98</v>
      </c>
      <c r="E18" s="7" t="s">
        <v>227</v>
      </c>
      <c r="F18" s="7" t="s">
        <v>22</v>
      </c>
      <c r="G18" s="7">
        <v>5</v>
      </c>
      <c r="H18" s="7" t="s">
        <v>166</v>
      </c>
      <c r="I18" s="7" t="s">
        <v>216</v>
      </c>
      <c r="J18" s="7" t="s">
        <v>217</v>
      </c>
    </row>
    <row r="19" spans="1:10" x14ac:dyDescent="0.35">
      <c r="A19" s="7" t="s">
        <v>181</v>
      </c>
      <c r="B19" s="7" t="s">
        <v>214</v>
      </c>
      <c r="C19" s="7" t="s">
        <v>178</v>
      </c>
      <c r="D19" s="7" t="s">
        <v>100</v>
      </c>
      <c r="E19" s="7" t="s">
        <v>228</v>
      </c>
      <c r="F19" s="7" t="s">
        <v>23</v>
      </c>
      <c r="G19" s="7">
        <v>5</v>
      </c>
      <c r="H19" s="7" t="s">
        <v>166</v>
      </c>
      <c r="I19" s="7" t="s">
        <v>216</v>
      </c>
      <c r="J19" s="7" t="s">
        <v>217</v>
      </c>
    </row>
    <row r="20" spans="1:10" x14ac:dyDescent="0.35">
      <c r="A20" s="7" t="s">
        <v>184</v>
      </c>
      <c r="B20" s="7" t="s">
        <v>214</v>
      </c>
      <c r="C20" s="7" t="s">
        <v>178</v>
      </c>
      <c r="D20" s="7" t="s">
        <v>102</v>
      </c>
      <c r="E20" s="7" t="s">
        <v>229</v>
      </c>
      <c r="F20" s="7" t="s">
        <v>22</v>
      </c>
      <c r="G20" s="7">
        <v>8</v>
      </c>
      <c r="H20" s="7" t="s">
        <v>187</v>
      </c>
      <c r="I20" s="7" t="s">
        <v>216</v>
      </c>
      <c r="J20" s="7" t="s">
        <v>217</v>
      </c>
    </row>
    <row r="21" spans="1:10" x14ac:dyDescent="0.35">
      <c r="A21" s="7" t="s">
        <v>188</v>
      </c>
      <c r="B21" s="7" t="s">
        <v>214</v>
      </c>
      <c r="C21" s="7" t="s">
        <v>189</v>
      </c>
      <c r="D21" s="7" t="s">
        <v>104</v>
      </c>
      <c r="E21" s="7" t="s">
        <v>230</v>
      </c>
      <c r="F21" s="7" t="s">
        <v>23</v>
      </c>
      <c r="G21" s="7">
        <v>5</v>
      </c>
      <c r="H21" s="7" t="s">
        <v>187</v>
      </c>
      <c r="I21" s="7" t="s">
        <v>216</v>
      </c>
      <c r="J21" s="7" t="s">
        <v>217</v>
      </c>
    </row>
    <row r="22" spans="1:10" x14ac:dyDescent="0.35">
      <c r="A22" s="7" t="s">
        <v>192</v>
      </c>
      <c r="B22" s="7" t="s">
        <v>214</v>
      </c>
      <c r="C22" s="7" t="s">
        <v>149</v>
      </c>
      <c r="D22" s="7" t="s">
        <v>106</v>
      </c>
      <c r="E22" s="7" t="s">
        <v>231</v>
      </c>
      <c r="F22" s="7" t="s">
        <v>23</v>
      </c>
      <c r="G22" s="7">
        <v>5</v>
      </c>
      <c r="H22" s="7" t="s">
        <v>187</v>
      </c>
      <c r="I22" s="7" t="s">
        <v>216</v>
      </c>
      <c r="J22" s="7" t="s">
        <v>217</v>
      </c>
    </row>
    <row r="23" spans="1:10" x14ac:dyDescent="0.35">
      <c r="A23" s="7" t="s">
        <v>195</v>
      </c>
      <c r="B23" s="7" t="s">
        <v>214</v>
      </c>
      <c r="C23" s="7" t="s">
        <v>189</v>
      </c>
      <c r="D23" s="7" t="s">
        <v>108</v>
      </c>
      <c r="E23" s="7" t="s">
        <v>232</v>
      </c>
      <c r="F23" s="7" t="s">
        <v>23</v>
      </c>
      <c r="G23" s="7">
        <v>8</v>
      </c>
      <c r="H23" s="7" t="s">
        <v>187</v>
      </c>
      <c r="I23" s="7" t="s">
        <v>216</v>
      </c>
      <c r="J23" s="7" t="s">
        <v>217</v>
      </c>
    </row>
    <row r="24" spans="1:10" x14ac:dyDescent="0.35">
      <c r="A24" s="7" t="s">
        <v>198</v>
      </c>
      <c r="B24" s="7" t="s">
        <v>214</v>
      </c>
      <c r="C24" s="7" t="s">
        <v>189</v>
      </c>
      <c r="D24" s="7" t="s">
        <v>110</v>
      </c>
      <c r="E24" s="7" t="s">
        <v>233</v>
      </c>
      <c r="F24" s="7" t="s">
        <v>48</v>
      </c>
      <c r="G24" s="7">
        <v>3</v>
      </c>
      <c r="H24" s="7" t="s">
        <v>187</v>
      </c>
      <c r="I24" s="7" t="s">
        <v>216</v>
      </c>
      <c r="J24" s="7" t="s">
        <v>217</v>
      </c>
    </row>
    <row r="25" spans="1:10" x14ac:dyDescent="0.35">
      <c r="A25" s="7" t="s">
        <v>234</v>
      </c>
      <c r="B25" s="7" t="s">
        <v>235</v>
      </c>
      <c r="C25" s="7" t="s">
        <v>141</v>
      </c>
      <c r="D25" s="7" t="s">
        <v>140</v>
      </c>
      <c r="E25" s="7" t="s">
        <v>236</v>
      </c>
      <c r="F25" s="7" t="s">
        <v>22</v>
      </c>
      <c r="G25" s="7">
        <v>2</v>
      </c>
      <c r="H25" s="7" t="s">
        <v>144</v>
      </c>
      <c r="I25" s="7" t="s">
        <v>46</v>
      </c>
      <c r="J25" s="7" t="s">
        <v>237</v>
      </c>
    </row>
    <row r="26" spans="1:10" x14ac:dyDescent="0.35">
      <c r="A26" s="7" t="s">
        <v>238</v>
      </c>
      <c r="B26" s="7" t="s">
        <v>235</v>
      </c>
      <c r="C26" s="7" t="s">
        <v>141</v>
      </c>
      <c r="D26" s="7" t="s">
        <v>145</v>
      </c>
      <c r="E26" s="7" t="s">
        <v>239</v>
      </c>
      <c r="F26" s="7" t="s">
        <v>22</v>
      </c>
      <c r="G26" s="7">
        <v>5</v>
      </c>
      <c r="H26" s="7" t="s">
        <v>144</v>
      </c>
      <c r="I26" s="7" t="s">
        <v>46</v>
      </c>
      <c r="J26" s="7" t="s">
        <v>208</v>
      </c>
    </row>
    <row r="27" spans="1:10" x14ac:dyDescent="0.35">
      <c r="A27" s="7" t="s">
        <v>240</v>
      </c>
      <c r="B27" s="7" t="s">
        <v>235</v>
      </c>
      <c r="C27" s="7" t="s">
        <v>149</v>
      </c>
      <c r="D27" s="7" t="s">
        <v>148</v>
      </c>
      <c r="E27" s="7" t="s">
        <v>241</v>
      </c>
      <c r="F27" s="7" t="s">
        <v>22</v>
      </c>
      <c r="G27" s="7">
        <v>5</v>
      </c>
      <c r="H27" s="7" t="s">
        <v>144</v>
      </c>
      <c r="I27" s="7" t="s">
        <v>46</v>
      </c>
      <c r="J27" s="7" t="s">
        <v>208</v>
      </c>
    </row>
    <row r="28" spans="1:10" x14ac:dyDescent="0.35">
      <c r="A28" s="7" t="s">
        <v>242</v>
      </c>
      <c r="B28" s="7" t="s">
        <v>235</v>
      </c>
      <c r="C28" s="7" t="s">
        <v>141</v>
      </c>
      <c r="D28" s="7" t="s">
        <v>140</v>
      </c>
      <c r="E28" s="7" t="s">
        <v>243</v>
      </c>
      <c r="F28" s="7" t="s">
        <v>23</v>
      </c>
      <c r="G28" s="7">
        <v>2</v>
      </c>
      <c r="H28" s="7" t="s">
        <v>144</v>
      </c>
      <c r="I28" s="7" t="s">
        <v>51</v>
      </c>
      <c r="J28" s="7" t="s">
        <v>217</v>
      </c>
    </row>
    <row r="29" spans="1:10" x14ac:dyDescent="0.35">
      <c r="A29" s="7" t="s">
        <v>244</v>
      </c>
      <c r="B29" s="7" t="s">
        <v>235</v>
      </c>
      <c r="C29" s="7" t="s">
        <v>156</v>
      </c>
      <c r="D29" s="7" t="s">
        <v>160</v>
      </c>
      <c r="E29" s="7" t="s">
        <v>245</v>
      </c>
      <c r="F29" s="7" t="s">
        <v>23</v>
      </c>
      <c r="G29" s="7">
        <v>2</v>
      </c>
      <c r="H29" s="7" t="s">
        <v>159</v>
      </c>
      <c r="I29" s="7" t="s">
        <v>246</v>
      </c>
      <c r="J29" s="7" t="s">
        <v>217</v>
      </c>
    </row>
    <row r="30" spans="1:10" x14ac:dyDescent="0.35">
      <c r="A30" s="7" t="s">
        <v>247</v>
      </c>
      <c r="B30" s="7" t="s">
        <v>235</v>
      </c>
      <c r="C30" s="7" t="s">
        <v>168</v>
      </c>
      <c r="D30" s="7" t="s">
        <v>167</v>
      </c>
      <c r="E30" s="7" t="s">
        <v>248</v>
      </c>
      <c r="F30" s="7" t="s">
        <v>22</v>
      </c>
      <c r="G30" s="7">
        <v>3</v>
      </c>
      <c r="H30" s="7" t="s">
        <v>159</v>
      </c>
      <c r="I30" s="7" t="s">
        <v>246</v>
      </c>
      <c r="J30" s="7" t="s">
        <v>217</v>
      </c>
    </row>
    <row r="31" spans="1:10" x14ac:dyDescent="0.35">
      <c r="A31" s="7" t="s">
        <v>249</v>
      </c>
      <c r="B31" s="7" t="s">
        <v>235</v>
      </c>
      <c r="C31" s="7" t="s">
        <v>156</v>
      </c>
      <c r="D31" s="7" t="s">
        <v>163</v>
      </c>
      <c r="E31" s="7" t="s">
        <v>250</v>
      </c>
      <c r="F31" s="7" t="s">
        <v>23</v>
      </c>
      <c r="G31" s="7">
        <v>3</v>
      </c>
      <c r="H31" s="7" t="s">
        <v>166</v>
      </c>
      <c r="I31" s="7" t="s">
        <v>42</v>
      </c>
      <c r="J31" s="7" t="s">
        <v>217</v>
      </c>
    </row>
    <row r="32" spans="1:10" x14ac:dyDescent="0.35">
      <c r="A32" s="7" t="s">
        <v>251</v>
      </c>
      <c r="B32" s="7" t="s">
        <v>235</v>
      </c>
      <c r="C32" s="7" t="s">
        <v>189</v>
      </c>
      <c r="D32" s="7" t="s">
        <v>195</v>
      </c>
      <c r="E32" s="7" t="s">
        <v>252</v>
      </c>
      <c r="F32" s="7" t="s">
        <v>23</v>
      </c>
      <c r="G32" s="7">
        <v>5</v>
      </c>
      <c r="H32" s="7" t="s">
        <v>187</v>
      </c>
      <c r="I32" s="7" t="s">
        <v>246</v>
      </c>
      <c r="J32" s="7" t="s">
        <v>217</v>
      </c>
    </row>
    <row r="33" spans="1:10" x14ac:dyDescent="0.35">
      <c r="A33" s="7" t="s">
        <v>253</v>
      </c>
      <c r="B33" s="7" t="s">
        <v>254</v>
      </c>
      <c r="C33" s="7" t="s">
        <v>141</v>
      </c>
      <c r="D33" s="7" t="s">
        <v>145</v>
      </c>
      <c r="E33" s="7" t="s">
        <v>255</v>
      </c>
      <c r="F33" s="7" t="s">
        <v>256</v>
      </c>
      <c r="G33" s="7">
        <v>3</v>
      </c>
      <c r="H33" s="7" t="s">
        <v>144</v>
      </c>
      <c r="I33" s="7" t="s">
        <v>46</v>
      </c>
      <c r="J33" s="7" t="s">
        <v>257</v>
      </c>
    </row>
    <row r="34" spans="1:10" x14ac:dyDescent="0.35">
      <c r="A34" s="7" t="s">
        <v>258</v>
      </c>
      <c r="B34" s="7" t="s">
        <v>254</v>
      </c>
      <c r="C34" s="7" t="s">
        <v>149</v>
      </c>
      <c r="D34" s="7" t="s">
        <v>148</v>
      </c>
      <c r="E34" s="7" t="s">
        <v>259</v>
      </c>
      <c r="F34" s="7" t="s">
        <v>22</v>
      </c>
      <c r="G34" s="7">
        <v>3</v>
      </c>
      <c r="H34" s="7" t="s">
        <v>144</v>
      </c>
      <c r="I34" s="7" t="s">
        <v>46</v>
      </c>
      <c r="J34" s="7" t="s">
        <v>257</v>
      </c>
    </row>
    <row r="35" spans="1:10" x14ac:dyDescent="0.35">
      <c r="A35" s="7" t="s">
        <v>260</v>
      </c>
      <c r="B35" s="7" t="s">
        <v>254</v>
      </c>
      <c r="C35" s="7" t="s">
        <v>156</v>
      </c>
      <c r="D35" s="7" t="s">
        <v>160</v>
      </c>
      <c r="E35" s="7" t="s">
        <v>261</v>
      </c>
      <c r="F35" s="7" t="s">
        <v>22</v>
      </c>
      <c r="G35" s="7">
        <v>2</v>
      </c>
      <c r="H35" s="7" t="s">
        <v>159</v>
      </c>
      <c r="I35" s="7" t="s">
        <v>46</v>
      </c>
      <c r="J35" s="7" t="s">
        <v>257</v>
      </c>
    </row>
    <row r="36" spans="1:10" x14ac:dyDescent="0.35">
      <c r="A36" s="7" t="s">
        <v>262</v>
      </c>
      <c r="B36" s="7" t="s">
        <v>254</v>
      </c>
      <c r="C36" s="7" t="s">
        <v>178</v>
      </c>
      <c r="D36" s="7" t="s">
        <v>177</v>
      </c>
      <c r="E36" s="7" t="s">
        <v>263</v>
      </c>
      <c r="F36" s="7" t="s">
        <v>23</v>
      </c>
      <c r="G36" s="7">
        <v>2</v>
      </c>
      <c r="H36" s="7" t="s">
        <v>166</v>
      </c>
      <c r="I36" s="7" t="s">
        <v>46</v>
      </c>
      <c r="J36" s="7" t="s">
        <v>257</v>
      </c>
    </row>
    <row r="37" spans="1:10" x14ac:dyDescent="0.35">
      <c r="A37" s="7" t="s">
        <v>264</v>
      </c>
      <c r="B37" s="7" t="s">
        <v>254</v>
      </c>
      <c r="C37" s="7" t="s">
        <v>178</v>
      </c>
      <c r="D37" s="7" t="s">
        <v>184</v>
      </c>
      <c r="E37" s="7" t="s">
        <v>265</v>
      </c>
      <c r="F37" s="7" t="s">
        <v>22</v>
      </c>
      <c r="G37" s="7">
        <v>3</v>
      </c>
      <c r="H37" s="7" t="s">
        <v>187</v>
      </c>
      <c r="I37" s="7" t="s">
        <v>46</v>
      </c>
      <c r="J37" s="7" t="s">
        <v>257</v>
      </c>
    </row>
  </sheetData>
  <autoFilter ref="A1:J3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2" customWidth="1"/>
    <col min="3" max="3" width="60" customWidth="1"/>
    <col min="4" max="4" width="9" customWidth="1"/>
    <col min="5" max="5" width="18" customWidth="1"/>
    <col min="6" max="6" width="10" customWidth="1"/>
  </cols>
  <sheetData>
    <row r="1" spans="1:6" ht="26" x14ac:dyDescent="0.35">
      <c r="A1" s="8" t="s">
        <v>139</v>
      </c>
      <c r="B1" s="8" t="s">
        <v>266</v>
      </c>
      <c r="C1" s="8" t="s">
        <v>267</v>
      </c>
      <c r="D1" s="8" t="s">
        <v>268</v>
      </c>
      <c r="E1" s="8" t="s">
        <v>269</v>
      </c>
      <c r="F1" s="8" t="s">
        <v>270</v>
      </c>
    </row>
    <row r="2" spans="1:6" x14ac:dyDescent="0.35">
      <c r="A2" s="7" t="s">
        <v>144</v>
      </c>
      <c r="B2" s="7" t="s">
        <v>271</v>
      </c>
      <c r="C2" s="7" t="s">
        <v>272</v>
      </c>
      <c r="D2" s="7">
        <f>COUNTIFS('Jira Backlog'!$H:$H,A2,'Jira Backlog'!$B:$B,"Story")</f>
        <v>4</v>
      </c>
      <c r="E2" s="7">
        <f>SUMIFS('Jira Backlog'!$G:$G,'Jira Backlog'!$H:$H,A2)</f>
        <v>44</v>
      </c>
      <c r="F2" s="7">
        <f>COUNTIFS('Jira Backlog'!$H:$H,A2,'Jira Backlog'!$B:$B,"Bug")</f>
        <v>2</v>
      </c>
    </row>
    <row r="3" spans="1:6" x14ac:dyDescent="0.35">
      <c r="A3" s="7" t="s">
        <v>159</v>
      </c>
      <c r="B3" s="7" t="s">
        <v>273</v>
      </c>
      <c r="C3" s="7" t="s">
        <v>274</v>
      </c>
      <c r="D3" s="7">
        <f>COUNTIFS('Jira Backlog'!$H:$H,A3,'Jira Backlog'!$B:$B,"Story")</f>
        <v>4</v>
      </c>
      <c r="E3" s="7">
        <f>SUMIFS('Jira Backlog'!$G:$G,'Jira Backlog'!$H:$H,A3)</f>
        <v>30</v>
      </c>
      <c r="F3" s="7">
        <f>COUNTIFS('Jira Backlog'!$H:$H,A3,'Jira Backlog'!$B:$B,"Bug")</f>
        <v>1</v>
      </c>
    </row>
    <row r="4" spans="1:6" x14ac:dyDescent="0.35">
      <c r="A4" s="7" t="s">
        <v>166</v>
      </c>
      <c r="B4" s="7" t="s">
        <v>275</v>
      </c>
      <c r="C4" s="7" t="s">
        <v>276</v>
      </c>
      <c r="D4" s="7">
        <f>COUNTIFS('Jira Backlog'!$H:$H,A4,'Jira Backlog'!$B:$B,"Story")</f>
        <v>4</v>
      </c>
      <c r="E4" s="7">
        <f>SUMIFS('Jira Backlog'!$G:$G,'Jira Backlog'!$H:$H,A4)</f>
        <v>28</v>
      </c>
      <c r="F4" s="7">
        <f>COUNTIFS('Jira Backlog'!$H:$H,A4,'Jira Backlog'!$B:$B,"Bug")</f>
        <v>1</v>
      </c>
    </row>
    <row r="5" spans="1:6" x14ac:dyDescent="0.35">
      <c r="A5" s="7" t="s">
        <v>187</v>
      </c>
      <c r="B5" s="7" t="s">
        <v>277</v>
      </c>
      <c r="C5" s="7" t="s">
        <v>278</v>
      </c>
      <c r="D5" s="7">
        <f>COUNTIFS('Jira Backlog'!$H:$H,A5,'Jira Backlog'!$B:$B,"Story")</f>
        <v>5</v>
      </c>
      <c r="E5" s="7">
        <f>SUMIFS('Jira Backlog'!$G:$G,'Jira Backlog'!$H:$H,A5)</f>
        <v>37</v>
      </c>
      <c r="F5" s="7">
        <f>COUNTIFS('Jira Backlog'!$H:$H,A5,'Jira Backlog'!$B:$B,"Bug")</f>
        <v>1</v>
      </c>
    </row>
    <row r="6" spans="1:6" x14ac:dyDescent="0.35">
      <c r="A6" s="9" t="s">
        <v>279</v>
      </c>
      <c r="B6" s="9"/>
      <c r="C6" s="9"/>
      <c r="D6" s="9">
        <f>SUM(D2:D5)</f>
        <v>17</v>
      </c>
      <c r="E6" s="9">
        <f>SUM(E2:E5)</f>
        <v>139</v>
      </c>
      <c r="F6" s="9">
        <f>SUM(F2:F5)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8" customWidth="1"/>
    <col min="3" max="3" width="10" customWidth="1"/>
    <col min="4" max="4" width="30" customWidth="1"/>
    <col min="5" max="7" width="44" customWidth="1"/>
    <col min="8" max="9" width="10" customWidth="1"/>
  </cols>
  <sheetData>
    <row r="1" spans="1:9" ht="26" x14ac:dyDescent="0.35">
      <c r="A1" s="6" t="s">
        <v>280</v>
      </c>
      <c r="B1" s="6" t="s">
        <v>135</v>
      </c>
      <c r="C1" s="6" t="s">
        <v>136</v>
      </c>
      <c r="D1" s="6" t="s">
        <v>281</v>
      </c>
      <c r="E1" s="6" t="s">
        <v>282</v>
      </c>
      <c r="F1" s="6" t="s">
        <v>283</v>
      </c>
      <c r="G1" s="6" t="s">
        <v>284</v>
      </c>
      <c r="H1" s="6" t="s">
        <v>206</v>
      </c>
      <c r="I1" s="6" t="s">
        <v>285</v>
      </c>
    </row>
    <row r="2" spans="1:9" x14ac:dyDescent="0.35">
      <c r="A2" s="7" t="s">
        <v>286</v>
      </c>
      <c r="B2" s="7" t="s">
        <v>77</v>
      </c>
      <c r="C2" s="7" t="s">
        <v>140</v>
      </c>
      <c r="D2" s="7" t="s">
        <v>287</v>
      </c>
      <c r="E2" s="7" t="s">
        <v>288</v>
      </c>
      <c r="F2" s="7" t="s">
        <v>289</v>
      </c>
      <c r="G2" s="7" t="s">
        <v>289</v>
      </c>
      <c r="H2" s="7" t="s">
        <v>290</v>
      </c>
      <c r="I2" s="7"/>
    </row>
    <row r="3" spans="1:9" x14ac:dyDescent="0.35">
      <c r="A3" s="7" t="s">
        <v>291</v>
      </c>
      <c r="B3" s="7" t="s">
        <v>77</v>
      </c>
      <c r="C3" s="7" t="s">
        <v>140</v>
      </c>
      <c r="D3" s="7" t="s">
        <v>292</v>
      </c>
      <c r="E3" s="7" t="s">
        <v>293</v>
      </c>
      <c r="F3" s="7" t="s">
        <v>294</v>
      </c>
      <c r="G3" s="7" t="s">
        <v>294</v>
      </c>
      <c r="H3" s="7" t="s">
        <v>290</v>
      </c>
      <c r="I3" s="7"/>
    </row>
    <row r="4" spans="1:9" x14ac:dyDescent="0.35">
      <c r="A4" s="7" t="s">
        <v>295</v>
      </c>
      <c r="B4" s="7" t="s">
        <v>80</v>
      </c>
      <c r="C4" s="7" t="s">
        <v>145</v>
      </c>
      <c r="D4" s="7" t="s">
        <v>296</v>
      </c>
      <c r="E4" s="7" t="s">
        <v>297</v>
      </c>
      <c r="F4" s="7" t="s">
        <v>298</v>
      </c>
      <c r="G4" s="7" t="s">
        <v>299</v>
      </c>
      <c r="H4" s="7" t="s">
        <v>290</v>
      </c>
      <c r="I4" s="7"/>
    </row>
    <row r="5" spans="1:9" x14ac:dyDescent="0.35">
      <c r="A5" s="7" t="s">
        <v>300</v>
      </c>
      <c r="B5" s="7" t="s">
        <v>80</v>
      </c>
      <c r="C5" s="7" t="s">
        <v>145</v>
      </c>
      <c r="D5" s="7" t="s">
        <v>301</v>
      </c>
      <c r="E5" s="7" t="s">
        <v>302</v>
      </c>
      <c r="F5" s="7" t="s">
        <v>303</v>
      </c>
      <c r="G5" s="7" t="s">
        <v>304</v>
      </c>
      <c r="H5" s="7" t="s">
        <v>305</v>
      </c>
      <c r="I5" s="7" t="s">
        <v>253</v>
      </c>
    </row>
    <row r="6" spans="1:9" ht="25" x14ac:dyDescent="0.35">
      <c r="A6" s="7" t="s">
        <v>306</v>
      </c>
      <c r="B6" s="7" t="s">
        <v>82</v>
      </c>
      <c r="C6" s="7" t="s">
        <v>148</v>
      </c>
      <c r="D6" s="7" t="s">
        <v>307</v>
      </c>
      <c r="E6" s="7" t="s">
        <v>308</v>
      </c>
      <c r="F6" s="7" t="s">
        <v>309</v>
      </c>
      <c r="G6" s="7" t="s">
        <v>310</v>
      </c>
      <c r="H6" s="7" t="s">
        <v>290</v>
      </c>
      <c r="I6" s="7"/>
    </row>
    <row r="7" spans="1:9" x14ac:dyDescent="0.35">
      <c r="A7" s="7" t="s">
        <v>311</v>
      </c>
      <c r="B7" s="7" t="s">
        <v>82</v>
      </c>
      <c r="C7" s="7" t="s">
        <v>148</v>
      </c>
      <c r="D7" s="7" t="s">
        <v>312</v>
      </c>
      <c r="E7" s="7" t="s">
        <v>313</v>
      </c>
      <c r="F7" s="7" t="s">
        <v>314</v>
      </c>
      <c r="G7" s="7" t="s">
        <v>315</v>
      </c>
      <c r="H7" s="7" t="s">
        <v>305</v>
      </c>
      <c r="I7" s="7" t="s">
        <v>258</v>
      </c>
    </row>
    <row r="8" spans="1:9" x14ac:dyDescent="0.35">
      <c r="A8" s="7" t="s">
        <v>316</v>
      </c>
      <c r="B8" s="7" t="s">
        <v>84</v>
      </c>
      <c r="C8" s="7" t="s">
        <v>152</v>
      </c>
      <c r="D8" s="7" t="s">
        <v>317</v>
      </c>
      <c r="E8" s="7" t="s">
        <v>318</v>
      </c>
      <c r="F8" s="7" t="s">
        <v>319</v>
      </c>
      <c r="G8" s="7" t="s">
        <v>319</v>
      </c>
      <c r="H8" s="7" t="s">
        <v>290</v>
      </c>
      <c r="I8" s="7"/>
    </row>
    <row r="9" spans="1:9" x14ac:dyDescent="0.35">
      <c r="A9" s="7" t="s">
        <v>320</v>
      </c>
      <c r="B9" s="7" t="s">
        <v>84</v>
      </c>
      <c r="C9" s="7" t="s">
        <v>152</v>
      </c>
      <c r="D9" s="7" t="s">
        <v>321</v>
      </c>
      <c r="E9" s="7" t="s">
        <v>322</v>
      </c>
      <c r="F9" s="7" t="s">
        <v>323</v>
      </c>
      <c r="G9" s="7" t="s">
        <v>323</v>
      </c>
      <c r="H9" s="7" t="s">
        <v>290</v>
      </c>
      <c r="I9" s="7"/>
    </row>
    <row r="10" spans="1:9" x14ac:dyDescent="0.35">
      <c r="A10" s="7" t="s">
        <v>324</v>
      </c>
      <c r="B10" s="7" t="s">
        <v>86</v>
      </c>
      <c r="C10" s="7" t="s">
        <v>155</v>
      </c>
      <c r="D10" s="7" t="s">
        <v>325</v>
      </c>
      <c r="E10" s="7" t="s">
        <v>326</v>
      </c>
      <c r="F10" s="7" t="s">
        <v>327</v>
      </c>
      <c r="G10" s="7" t="s">
        <v>327</v>
      </c>
      <c r="H10" s="7" t="s">
        <v>290</v>
      </c>
      <c r="I10" s="7"/>
    </row>
    <row r="11" spans="1:9" x14ac:dyDescent="0.35">
      <c r="A11" s="7" t="s">
        <v>328</v>
      </c>
      <c r="B11" s="7" t="s">
        <v>86</v>
      </c>
      <c r="C11" s="7" t="s">
        <v>155</v>
      </c>
      <c r="D11" s="7" t="s">
        <v>329</v>
      </c>
      <c r="E11" s="7" t="s">
        <v>330</v>
      </c>
      <c r="F11" s="7" t="s">
        <v>331</v>
      </c>
      <c r="G11" s="7" t="s">
        <v>331</v>
      </c>
      <c r="H11" s="7" t="s">
        <v>290</v>
      </c>
      <c r="I11" s="7"/>
    </row>
    <row r="12" spans="1:9" x14ac:dyDescent="0.35">
      <c r="A12" s="7" t="s">
        <v>332</v>
      </c>
      <c r="B12" s="7" t="s">
        <v>88</v>
      </c>
      <c r="C12" s="7" t="s">
        <v>160</v>
      </c>
      <c r="D12" s="7" t="s">
        <v>333</v>
      </c>
      <c r="E12" s="7" t="s">
        <v>334</v>
      </c>
      <c r="F12" s="7" t="s">
        <v>335</v>
      </c>
      <c r="G12" s="7" t="s">
        <v>335</v>
      </c>
      <c r="H12" s="7" t="s">
        <v>290</v>
      </c>
      <c r="I12" s="7"/>
    </row>
    <row r="13" spans="1:9" x14ac:dyDescent="0.35">
      <c r="A13" s="7" t="s">
        <v>336</v>
      </c>
      <c r="B13" s="7" t="s">
        <v>88</v>
      </c>
      <c r="C13" s="7" t="s">
        <v>160</v>
      </c>
      <c r="D13" s="7" t="s">
        <v>337</v>
      </c>
      <c r="E13" s="7" t="s">
        <v>338</v>
      </c>
      <c r="F13" s="7" t="s">
        <v>339</v>
      </c>
      <c r="G13" s="7" t="s">
        <v>340</v>
      </c>
      <c r="H13" s="7" t="s">
        <v>305</v>
      </c>
      <c r="I13" s="7" t="s">
        <v>260</v>
      </c>
    </row>
    <row r="14" spans="1:9" x14ac:dyDescent="0.35">
      <c r="A14" s="7" t="s">
        <v>341</v>
      </c>
      <c r="B14" s="7" t="s">
        <v>90</v>
      </c>
      <c r="C14" s="7" t="s">
        <v>163</v>
      </c>
      <c r="D14" s="7" t="s">
        <v>342</v>
      </c>
      <c r="E14" s="7" t="s">
        <v>343</v>
      </c>
      <c r="F14" s="7" t="s">
        <v>344</v>
      </c>
      <c r="G14" s="7" t="s">
        <v>344</v>
      </c>
      <c r="H14" s="7" t="s">
        <v>290</v>
      </c>
      <c r="I14" s="7"/>
    </row>
    <row r="15" spans="1:9" ht="25" x14ac:dyDescent="0.35">
      <c r="A15" s="7" t="s">
        <v>345</v>
      </c>
      <c r="B15" s="7" t="s">
        <v>92</v>
      </c>
      <c r="C15" s="7" t="s">
        <v>167</v>
      </c>
      <c r="D15" s="7" t="s">
        <v>346</v>
      </c>
      <c r="E15" s="7" t="s">
        <v>347</v>
      </c>
      <c r="F15" s="7" t="s">
        <v>348</v>
      </c>
      <c r="G15" s="7" t="s">
        <v>348</v>
      </c>
      <c r="H15" s="7" t="s">
        <v>290</v>
      </c>
      <c r="I15" s="7"/>
    </row>
    <row r="16" spans="1:9" x14ac:dyDescent="0.35">
      <c r="A16" s="7" t="s">
        <v>349</v>
      </c>
      <c r="B16" s="7" t="s">
        <v>94</v>
      </c>
      <c r="C16" s="7" t="s">
        <v>171</v>
      </c>
      <c r="D16" s="7" t="s">
        <v>350</v>
      </c>
      <c r="E16" s="7" t="s">
        <v>351</v>
      </c>
      <c r="F16" s="7" t="s">
        <v>352</v>
      </c>
      <c r="G16" s="7" t="s">
        <v>352</v>
      </c>
      <c r="H16" s="7" t="s">
        <v>290</v>
      </c>
      <c r="I16" s="7"/>
    </row>
    <row r="17" spans="1:9" x14ac:dyDescent="0.35">
      <c r="A17" s="7" t="s">
        <v>353</v>
      </c>
      <c r="B17" s="7" t="s">
        <v>96</v>
      </c>
      <c r="C17" s="7" t="s">
        <v>174</v>
      </c>
      <c r="D17" s="7" t="s">
        <v>354</v>
      </c>
      <c r="E17" s="7" t="s">
        <v>355</v>
      </c>
      <c r="F17" s="7" t="s">
        <v>356</v>
      </c>
      <c r="G17" s="7" t="s">
        <v>356</v>
      </c>
      <c r="H17" s="7" t="s">
        <v>290</v>
      </c>
      <c r="I17" s="7"/>
    </row>
    <row r="18" spans="1:9" x14ac:dyDescent="0.35">
      <c r="A18" s="7" t="s">
        <v>357</v>
      </c>
      <c r="B18" s="7" t="s">
        <v>98</v>
      </c>
      <c r="C18" s="7" t="s">
        <v>177</v>
      </c>
      <c r="D18" s="7" t="s">
        <v>358</v>
      </c>
      <c r="E18" s="7" t="s">
        <v>359</v>
      </c>
      <c r="F18" s="7" t="s">
        <v>360</v>
      </c>
      <c r="G18" s="7" t="s">
        <v>360</v>
      </c>
      <c r="H18" s="7" t="s">
        <v>290</v>
      </c>
      <c r="I18" s="7"/>
    </row>
    <row r="19" spans="1:9" x14ac:dyDescent="0.35">
      <c r="A19" s="7" t="s">
        <v>361</v>
      </c>
      <c r="B19" s="7" t="s">
        <v>98</v>
      </c>
      <c r="C19" s="7" t="s">
        <v>177</v>
      </c>
      <c r="D19" s="7" t="s">
        <v>362</v>
      </c>
      <c r="E19" s="7" t="s">
        <v>363</v>
      </c>
      <c r="F19" s="7" t="s">
        <v>364</v>
      </c>
      <c r="G19" s="7" t="s">
        <v>365</v>
      </c>
      <c r="H19" s="7" t="s">
        <v>305</v>
      </c>
      <c r="I19" s="7" t="s">
        <v>262</v>
      </c>
    </row>
    <row r="20" spans="1:9" x14ac:dyDescent="0.35">
      <c r="A20" s="7" t="s">
        <v>366</v>
      </c>
      <c r="B20" s="7" t="s">
        <v>100</v>
      </c>
      <c r="C20" s="7" t="s">
        <v>181</v>
      </c>
      <c r="D20" s="7" t="s">
        <v>367</v>
      </c>
      <c r="E20" s="7" t="s">
        <v>368</v>
      </c>
      <c r="F20" s="7" t="s">
        <v>369</v>
      </c>
      <c r="G20" s="7" t="s">
        <v>369</v>
      </c>
      <c r="H20" s="7" t="s">
        <v>290</v>
      </c>
      <c r="I20" s="7"/>
    </row>
    <row r="21" spans="1:9" x14ac:dyDescent="0.35">
      <c r="A21" s="7" t="s">
        <v>370</v>
      </c>
      <c r="B21" s="7" t="s">
        <v>100</v>
      </c>
      <c r="C21" s="7" t="s">
        <v>181</v>
      </c>
      <c r="D21" s="7" t="s">
        <v>371</v>
      </c>
      <c r="E21" s="7" t="s">
        <v>372</v>
      </c>
      <c r="F21" s="7" t="s">
        <v>373</v>
      </c>
      <c r="G21" s="7" t="s">
        <v>373</v>
      </c>
      <c r="H21" s="7" t="s">
        <v>290</v>
      </c>
      <c r="I21" s="7"/>
    </row>
    <row r="22" spans="1:9" x14ac:dyDescent="0.35">
      <c r="A22" s="7" t="s">
        <v>374</v>
      </c>
      <c r="B22" s="7" t="s">
        <v>102</v>
      </c>
      <c r="C22" s="7" t="s">
        <v>184</v>
      </c>
      <c r="D22" s="7" t="s">
        <v>375</v>
      </c>
      <c r="E22" s="7" t="s">
        <v>376</v>
      </c>
      <c r="F22" s="7" t="s">
        <v>377</v>
      </c>
      <c r="G22" s="7" t="s">
        <v>378</v>
      </c>
      <c r="H22" s="7" t="s">
        <v>290</v>
      </c>
      <c r="I22" s="7"/>
    </row>
    <row r="23" spans="1:9" x14ac:dyDescent="0.35">
      <c r="A23" s="7" t="s">
        <v>379</v>
      </c>
      <c r="B23" s="7" t="s">
        <v>104</v>
      </c>
      <c r="C23" s="7" t="s">
        <v>188</v>
      </c>
      <c r="D23" s="7" t="s">
        <v>380</v>
      </c>
      <c r="E23" s="7" t="s">
        <v>381</v>
      </c>
      <c r="F23" s="7" t="s">
        <v>382</v>
      </c>
      <c r="G23" s="7" t="s">
        <v>382</v>
      </c>
      <c r="H23" s="7" t="s">
        <v>290</v>
      </c>
      <c r="I23" s="7"/>
    </row>
    <row r="24" spans="1:9" ht="25" x14ac:dyDescent="0.35">
      <c r="A24" s="7" t="s">
        <v>383</v>
      </c>
      <c r="B24" s="7" t="s">
        <v>106</v>
      </c>
      <c r="C24" s="7" t="s">
        <v>192</v>
      </c>
      <c r="D24" s="7" t="s">
        <v>384</v>
      </c>
      <c r="E24" s="7" t="s">
        <v>385</v>
      </c>
      <c r="F24" s="7" t="s">
        <v>386</v>
      </c>
      <c r="G24" s="7" t="s">
        <v>386</v>
      </c>
      <c r="H24" s="7" t="s">
        <v>290</v>
      </c>
      <c r="I24" s="7"/>
    </row>
    <row r="25" spans="1:9" x14ac:dyDescent="0.35">
      <c r="A25" s="7" t="s">
        <v>387</v>
      </c>
      <c r="B25" s="7" t="s">
        <v>108</v>
      </c>
      <c r="C25" s="7" t="s">
        <v>195</v>
      </c>
      <c r="D25" s="7" t="s">
        <v>388</v>
      </c>
      <c r="E25" s="7" t="s">
        <v>389</v>
      </c>
      <c r="F25" s="7" t="s">
        <v>390</v>
      </c>
      <c r="G25" s="7" t="s">
        <v>391</v>
      </c>
      <c r="H25" s="7" t="s">
        <v>290</v>
      </c>
      <c r="I25" s="7"/>
    </row>
    <row r="26" spans="1:9" x14ac:dyDescent="0.35">
      <c r="A26" s="7" t="s">
        <v>392</v>
      </c>
      <c r="B26" s="7" t="s">
        <v>110</v>
      </c>
      <c r="C26" s="7" t="s">
        <v>198</v>
      </c>
      <c r="D26" s="7" t="s">
        <v>393</v>
      </c>
      <c r="E26" s="7" t="s">
        <v>394</v>
      </c>
      <c r="F26" s="7" t="s">
        <v>395</v>
      </c>
      <c r="G26" s="7" t="s">
        <v>395</v>
      </c>
      <c r="H26" s="7" t="s">
        <v>290</v>
      </c>
      <c r="I26" s="7"/>
    </row>
    <row r="28" spans="1:9" x14ac:dyDescent="0.35">
      <c r="A28" s="5" t="s">
        <v>396</v>
      </c>
    </row>
  </sheetData>
  <autoFilter ref="A1:I26" xr:uid="{00000000-0009-0000-0000-000006000000}"/>
  <conditionalFormatting sqref="H2:H26">
    <cfRule type="cellIs" dxfId="3" priority="2" operator="equal">
      <formula>"Pass"</formula>
    </cfRule>
    <cfRule type="cellIs" dxfId="2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2" customWidth="1"/>
    <col min="2" max="2" width="70" customWidth="1"/>
    <col min="3" max="4" width="10" customWidth="1"/>
    <col min="5" max="5" width="22" customWidth="1"/>
    <col min="6" max="6" width="10" customWidth="1"/>
  </cols>
  <sheetData>
    <row r="1" spans="1:6" ht="26" x14ac:dyDescent="0.35">
      <c r="A1" s="8" t="s">
        <v>65</v>
      </c>
      <c r="B1" s="8" t="s">
        <v>397</v>
      </c>
      <c r="C1" s="8" t="s">
        <v>136</v>
      </c>
      <c r="D1" s="8" t="s">
        <v>398</v>
      </c>
      <c r="E1" s="8" t="s">
        <v>399</v>
      </c>
      <c r="F1" s="8" t="s">
        <v>400</v>
      </c>
    </row>
    <row r="2" spans="1:6" ht="25" x14ac:dyDescent="0.35">
      <c r="A2" s="7" t="s">
        <v>401</v>
      </c>
      <c r="B2" s="7" t="s">
        <v>402</v>
      </c>
      <c r="C2" s="7" t="s">
        <v>140</v>
      </c>
      <c r="D2" s="7" t="s">
        <v>286</v>
      </c>
      <c r="E2" s="7" t="str">
        <f>IFERROR(INDEX(UAT!$H:$H,MATCH(D2,UAT!$A:$A,0)),"Not Run")</f>
        <v>Pass</v>
      </c>
      <c r="F2" s="7" t="str">
        <f>IFERROR(INDEX(UAT!$I:$I,MATCH(D2,UAT!$A:$A,0))&amp;"","")</f>
        <v/>
      </c>
    </row>
    <row r="3" spans="1:6" ht="25" x14ac:dyDescent="0.35">
      <c r="A3" s="7" t="s">
        <v>401</v>
      </c>
      <c r="B3" s="7" t="s">
        <v>402</v>
      </c>
      <c r="C3" s="7" t="s">
        <v>140</v>
      </c>
      <c r="D3" s="7" t="s">
        <v>291</v>
      </c>
      <c r="E3" s="7" t="str">
        <f>IFERROR(INDEX(UAT!$H:$H,MATCH(D3,UAT!$A:$A,0)),"Not Run")</f>
        <v>Pass</v>
      </c>
      <c r="F3" s="7" t="str">
        <f>IFERROR(INDEX(UAT!$I:$I,MATCH(D3,UAT!$A:$A,0))&amp;"","")</f>
        <v/>
      </c>
    </row>
    <row r="4" spans="1:6" ht="25" x14ac:dyDescent="0.35">
      <c r="A4" s="7" t="s">
        <v>401</v>
      </c>
      <c r="B4" s="7" t="s">
        <v>403</v>
      </c>
      <c r="C4" s="7" t="s">
        <v>145</v>
      </c>
      <c r="D4" s="7" t="s">
        <v>295</v>
      </c>
      <c r="E4" s="7" t="str">
        <f>IFERROR(INDEX(UAT!$H:$H,MATCH(D4,UAT!$A:$A,0)),"Not Run")</f>
        <v>Pass</v>
      </c>
      <c r="F4" s="7" t="str">
        <f>IFERROR(INDEX(UAT!$I:$I,MATCH(D4,UAT!$A:$A,0))&amp;"","")</f>
        <v/>
      </c>
    </row>
    <row r="5" spans="1:6" ht="25" x14ac:dyDescent="0.35">
      <c r="A5" s="7" t="s">
        <v>401</v>
      </c>
      <c r="B5" s="7" t="s">
        <v>403</v>
      </c>
      <c r="C5" s="7" t="s">
        <v>145</v>
      </c>
      <c r="D5" s="7" t="s">
        <v>300</v>
      </c>
      <c r="E5" s="7" t="str">
        <f>IFERROR(INDEX(UAT!$H:$H,MATCH(D5,UAT!$A:$A,0)),"Not Run")</f>
        <v>Fail</v>
      </c>
      <c r="F5" s="7" t="str">
        <f>IFERROR(INDEX(UAT!$I:$I,MATCH(D5,UAT!$A:$A,0))&amp;"","")</f>
        <v>BUG-01</v>
      </c>
    </row>
    <row r="6" spans="1:6" ht="25" x14ac:dyDescent="0.35">
      <c r="A6" s="7" t="s">
        <v>404</v>
      </c>
      <c r="B6" s="7" t="s">
        <v>405</v>
      </c>
      <c r="C6" s="7" t="s">
        <v>148</v>
      </c>
      <c r="D6" s="7" t="s">
        <v>306</v>
      </c>
      <c r="E6" s="7" t="str">
        <f>IFERROR(INDEX(UAT!$H:$H,MATCH(D6,UAT!$A:$A,0)),"Not Run")</f>
        <v>Pass</v>
      </c>
      <c r="F6" s="7" t="str">
        <f>IFERROR(INDEX(UAT!$I:$I,MATCH(D6,UAT!$A:$A,0))&amp;"","")</f>
        <v/>
      </c>
    </row>
    <row r="7" spans="1:6" ht="25" x14ac:dyDescent="0.35">
      <c r="A7" s="7" t="s">
        <v>404</v>
      </c>
      <c r="B7" s="7" t="s">
        <v>405</v>
      </c>
      <c r="C7" s="7" t="s">
        <v>148</v>
      </c>
      <c r="D7" s="7" t="s">
        <v>311</v>
      </c>
      <c r="E7" s="7" t="str">
        <f>IFERROR(INDEX(UAT!$H:$H,MATCH(D7,UAT!$A:$A,0)),"Not Run")</f>
        <v>Fail</v>
      </c>
      <c r="F7" s="7" t="str">
        <f>IFERROR(INDEX(UAT!$I:$I,MATCH(D7,UAT!$A:$A,0))&amp;"","")</f>
        <v>BUG-02</v>
      </c>
    </row>
    <row r="8" spans="1:6" x14ac:dyDescent="0.35">
      <c r="A8" s="7" t="s">
        <v>404</v>
      </c>
      <c r="B8" s="7" t="s">
        <v>406</v>
      </c>
      <c r="C8" s="7" t="s">
        <v>152</v>
      </c>
      <c r="D8" s="7" t="s">
        <v>316</v>
      </c>
      <c r="E8" s="7" t="str">
        <f>IFERROR(INDEX(UAT!$H:$H,MATCH(D8,UAT!$A:$A,0)),"Not Run")</f>
        <v>Pass</v>
      </c>
      <c r="F8" s="7" t="str">
        <f>IFERROR(INDEX(UAT!$I:$I,MATCH(D8,UAT!$A:$A,0))&amp;"","")</f>
        <v/>
      </c>
    </row>
    <row r="9" spans="1:6" x14ac:dyDescent="0.35">
      <c r="A9" s="7" t="s">
        <v>404</v>
      </c>
      <c r="B9" s="7" t="s">
        <v>406</v>
      </c>
      <c r="C9" s="7" t="s">
        <v>152</v>
      </c>
      <c r="D9" s="7" t="s">
        <v>320</v>
      </c>
      <c r="E9" s="7" t="str">
        <f>IFERROR(INDEX(UAT!$H:$H,MATCH(D9,UAT!$A:$A,0)),"Not Run")</f>
        <v>Pass</v>
      </c>
      <c r="F9" s="7" t="str">
        <f>IFERROR(INDEX(UAT!$I:$I,MATCH(D9,UAT!$A:$A,0))&amp;"","")</f>
        <v/>
      </c>
    </row>
    <row r="10" spans="1:6" ht="37.5" x14ac:dyDescent="0.35">
      <c r="A10" s="7" t="s">
        <v>407</v>
      </c>
      <c r="B10" s="7" t="s">
        <v>408</v>
      </c>
      <c r="C10" s="7" t="s">
        <v>155</v>
      </c>
      <c r="D10" s="7" t="s">
        <v>324</v>
      </c>
      <c r="E10" s="7" t="str">
        <f>IFERROR(INDEX(UAT!$H:$H,MATCH(D10,UAT!$A:$A,0)),"Not Run")</f>
        <v>Pass</v>
      </c>
      <c r="F10" s="7" t="str">
        <f>IFERROR(INDEX(UAT!$I:$I,MATCH(D10,UAT!$A:$A,0))&amp;"","")</f>
        <v/>
      </c>
    </row>
    <row r="11" spans="1:6" ht="37.5" x14ac:dyDescent="0.35">
      <c r="A11" s="7" t="s">
        <v>407</v>
      </c>
      <c r="B11" s="7" t="s">
        <v>408</v>
      </c>
      <c r="C11" s="7" t="s">
        <v>155</v>
      </c>
      <c r="D11" s="7" t="s">
        <v>328</v>
      </c>
      <c r="E11" s="7" t="str">
        <f>IFERROR(INDEX(UAT!$H:$H,MATCH(D11,UAT!$A:$A,0)),"Not Run")</f>
        <v>Pass</v>
      </c>
      <c r="F11" s="7" t="str">
        <f>IFERROR(INDEX(UAT!$I:$I,MATCH(D11,UAT!$A:$A,0))&amp;"","")</f>
        <v/>
      </c>
    </row>
    <row r="12" spans="1:6" ht="25" x14ac:dyDescent="0.35">
      <c r="A12" s="7" t="s">
        <v>407</v>
      </c>
      <c r="B12" s="7" t="s">
        <v>409</v>
      </c>
      <c r="C12" s="7" t="s">
        <v>160</v>
      </c>
      <c r="D12" s="7" t="s">
        <v>332</v>
      </c>
      <c r="E12" s="7" t="str">
        <f>IFERROR(INDEX(UAT!$H:$H,MATCH(D12,UAT!$A:$A,0)),"Not Run")</f>
        <v>Pass</v>
      </c>
      <c r="F12" s="7" t="str">
        <f>IFERROR(INDEX(UAT!$I:$I,MATCH(D12,UAT!$A:$A,0))&amp;"","")</f>
        <v/>
      </c>
    </row>
    <row r="13" spans="1:6" ht="25" x14ac:dyDescent="0.35">
      <c r="A13" s="7" t="s">
        <v>407</v>
      </c>
      <c r="B13" s="7" t="s">
        <v>409</v>
      </c>
      <c r="C13" s="7" t="s">
        <v>160</v>
      </c>
      <c r="D13" s="7" t="s">
        <v>336</v>
      </c>
      <c r="E13" s="7" t="str">
        <f>IFERROR(INDEX(UAT!$H:$H,MATCH(D13,UAT!$A:$A,0)),"Not Run")</f>
        <v>Fail</v>
      </c>
      <c r="F13" s="7" t="str">
        <f>IFERROR(INDEX(UAT!$I:$I,MATCH(D13,UAT!$A:$A,0))&amp;"","")</f>
        <v>BUG-03</v>
      </c>
    </row>
    <row r="14" spans="1:6" ht="25" x14ac:dyDescent="0.35">
      <c r="A14" s="7" t="s">
        <v>407</v>
      </c>
      <c r="B14" s="7" t="s">
        <v>410</v>
      </c>
      <c r="C14" s="7" t="s">
        <v>163</v>
      </c>
      <c r="D14" s="7" t="s">
        <v>341</v>
      </c>
      <c r="E14" s="7" t="str">
        <f>IFERROR(INDEX(UAT!$H:$H,MATCH(D14,UAT!$A:$A,0)),"Not Run")</f>
        <v>Pass</v>
      </c>
      <c r="F14" s="7" t="str">
        <f>IFERROR(INDEX(UAT!$I:$I,MATCH(D14,UAT!$A:$A,0))&amp;"","")</f>
        <v/>
      </c>
    </row>
    <row r="15" spans="1:6" ht="25" x14ac:dyDescent="0.35">
      <c r="A15" s="7" t="s">
        <v>411</v>
      </c>
      <c r="B15" s="7" t="s">
        <v>412</v>
      </c>
      <c r="C15" s="7" t="s">
        <v>167</v>
      </c>
      <c r="D15" s="7" t="s">
        <v>345</v>
      </c>
      <c r="E15" s="7" t="str">
        <f>IFERROR(INDEX(UAT!$H:$H,MATCH(D15,UAT!$A:$A,0)),"Not Run")</f>
        <v>Pass</v>
      </c>
      <c r="F15" s="7" t="str">
        <f>IFERROR(INDEX(UAT!$I:$I,MATCH(D15,UAT!$A:$A,0))&amp;"","")</f>
        <v/>
      </c>
    </row>
    <row r="16" spans="1:6" ht="25" x14ac:dyDescent="0.35">
      <c r="A16" s="7" t="s">
        <v>411</v>
      </c>
      <c r="B16" s="7" t="s">
        <v>413</v>
      </c>
      <c r="C16" s="7" t="s">
        <v>171</v>
      </c>
      <c r="D16" s="7" t="s">
        <v>349</v>
      </c>
      <c r="E16" s="7" t="str">
        <f>IFERROR(INDEX(UAT!$H:$H,MATCH(D16,UAT!$A:$A,0)),"Not Run")</f>
        <v>Pass</v>
      </c>
      <c r="F16" s="7" t="str">
        <f>IFERROR(INDEX(UAT!$I:$I,MATCH(D16,UAT!$A:$A,0))&amp;"","")</f>
        <v/>
      </c>
    </row>
    <row r="17" spans="1:6" ht="25" x14ac:dyDescent="0.35">
      <c r="A17" s="7" t="s">
        <v>411</v>
      </c>
      <c r="B17" s="7" t="s">
        <v>414</v>
      </c>
      <c r="C17" s="7" t="s">
        <v>174</v>
      </c>
      <c r="D17" s="7" t="s">
        <v>353</v>
      </c>
      <c r="E17" s="7" t="str">
        <f>IFERROR(INDEX(UAT!$H:$H,MATCH(D17,UAT!$A:$A,0)),"Not Run")</f>
        <v>Pass</v>
      </c>
      <c r="F17" s="7" t="str">
        <f>IFERROR(INDEX(UAT!$I:$I,MATCH(D17,UAT!$A:$A,0))&amp;"","")</f>
        <v/>
      </c>
    </row>
    <row r="18" spans="1:6" ht="25" x14ac:dyDescent="0.35">
      <c r="A18" s="7" t="s">
        <v>415</v>
      </c>
      <c r="B18" s="7" t="s">
        <v>416</v>
      </c>
      <c r="C18" s="7" t="s">
        <v>177</v>
      </c>
      <c r="D18" s="7" t="s">
        <v>357</v>
      </c>
      <c r="E18" s="7" t="str">
        <f>IFERROR(INDEX(UAT!$H:$H,MATCH(D18,UAT!$A:$A,0)),"Not Run")</f>
        <v>Pass</v>
      </c>
      <c r="F18" s="7" t="str">
        <f>IFERROR(INDEX(UAT!$I:$I,MATCH(D18,UAT!$A:$A,0))&amp;"","")</f>
        <v/>
      </c>
    </row>
    <row r="19" spans="1:6" ht="25" x14ac:dyDescent="0.35">
      <c r="A19" s="7" t="s">
        <v>415</v>
      </c>
      <c r="B19" s="7" t="s">
        <v>416</v>
      </c>
      <c r="C19" s="7" t="s">
        <v>177</v>
      </c>
      <c r="D19" s="7" t="s">
        <v>361</v>
      </c>
      <c r="E19" s="7" t="str">
        <f>IFERROR(INDEX(UAT!$H:$H,MATCH(D19,UAT!$A:$A,0)),"Not Run")</f>
        <v>Fail</v>
      </c>
      <c r="F19" s="7" t="str">
        <f>IFERROR(INDEX(UAT!$I:$I,MATCH(D19,UAT!$A:$A,0))&amp;"","")</f>
        <v>BUG-04</v>
      </c>
    </row>
    <row r="20" spans="1:6" ht="25" x14ac:dyDescent="0.35">
      <c r="A20" s="7" t="s">
        <v>415</v>
      </c>
      <c r="B20" s="7" t="s">
        <v>417</v>
      </c>
      <c r="C20" s="7" t="s">
        <v>181</v>
      </c>
      <c r="D20" s="7" t="s">
        <v>366</v>
      </c>
      <c r="E20" s="7" t="str">
        <f>IFERROR(INDEX(UAT!$H:$H,MATCH(D20,UAT!$A:$A,0)),"Not Run")</f>
        <v>Pass</v>
      </c>
      <c r="F20" s="7" t="str">
        <f>IFERROR(INDEX(UAT!$I:$I,MATCH(D20,UAT!$A:$A,0))&amp;"","")</f>
        <v/>
      </c>
    </row>
    <row r="21" spans="1:6" ht="25" x14ac:dyDescent="0.35">
      <c r="A21" s="7" t="s">
        <v>415</v>
      </c>
      <c r="B21" s="7" t="s">
        <v>417</v>
      </c>
      <c r="C21" s="7" t="s">
        <v>181</v>
      </c>
      <c r="D21" s="7" t="s">
        <v>370</v>
      </c>
      <c r="E21" s="7" t="str">
        <f>IFERROR(INDEX(UAT!$H:$H,MATCH(D21,UAT!$A:$A,0)),"Not Run")</f>
        <v>Pass</v>
      </c>
      <c r="F21" s="7" t="str">
        <f>IFERROR(INDEX(UAT!$I:$I,MATCH(D21,UAT!$A:$A,0))&amp;"","")</f>
        <v/>
      </c>
    </row>
    <row r="22" spans="1:6" ht="25" x14ac:dyDescent="0.35">
      <c r="A22" s="7" t="s">
        <v>415</v>
      </c>
      <c r="B22" s="7" t="s">
        <v>418</v>
      </c>
      <c r="C22" s="7" t="s">
        <v>184</v>
      </c>
      <c r="D22" s="7" t="s">
        <v>374</v>
      </c>
      <c r="E22" s="7" t="str">
        <f>IFERROR(INDEX(UAT!$H:$H,MATCH(D22,UAT!$A:$A,0)),"Not Run")</f>
        <v>Pass</v>
      </c>
      <c r="F22" s="7" t="str">
        <f>IFERROR(INDEX(UAT!$I:$I,MATCH(D22,UAT!$A:$A,0))&amp;"","")</f>
        <v/>
      </c>
    </row>
    <row r="23" spans="1:6" ht="25" x14ac:dyDescent="0.35">
      <c r="A23" s="7" t="s">
        <v>419</v>
      </c>
      <c r="B23" s="7" t="s">
        <v>420</v>
      </c>
      <c r="C23" s="7" t="s">
        <v>188</v>
      </c>
      <c r="D23" s="7" t="s">
        <v>379</v>
      </c>
      <c r="E23" s="7" t="str">
        <f>IFERROR(INDEX(UAT!$H:$H,MATCH(D23,UAT!$A:$A,0)),"Not Run")</f>
        <v>Pass</v>
      </c>
      <c r="F23" s="7" t="str">
        <f>IFERROR(INDEX(UAT!$I:$I,MATCH(D23,UAT!$A:$A,0))&amp;"","")</f>
        <v/>
      </c>
    </row>
    <row r="24" spans="1:6" ht="25" x14ac:dyDescent="0.35">
      <c r="A24" s="7" t="s">
        <v>404</v>
      </c>
      <c r="B24" s="7" t="s">
        <v>421</v>
      </c>
      <c r="C24" s="7" t="s">
        <v>192</v>
      </c>
      <c r="D24" s="7" t="s">
        <v>383</v>
      </c>
      <c r="E24" s="7" t="str">
        <f>IFERROR(INDEX(UAT!$H:$H,MATCH(D24,UAT!$A:$A,0)),"Not Run")</f>
        <v>Pass</v>
      </c>
      <c r="F24" s="7" t="str">
        <f>IFERROR(INDEX(UAT!$I:$I,MATCH(D24,UAT!$A:$A,0))&amp;"","")</f>
        <v/>
      </c>
    </row>
    <row r="25" spans="1:6" ht="25" x14ac:dyDescent="0.35">
      <c r="A25" s="7" t="s">
        <v>411</v>
      </c>
      <c r="B25" s="7" t="s">
        <v>422</v>
      </c>
      <c r="C25" s="7" t="s">
        <v>195</v>
      </c>
      <c r="D25" s="7" t="s">
        <v>387</v>
      </c>
      <c r="E25" s="7" t="str">
        <f>IFERROR(INDEX(UAT!$H:$H,MATCH(D25,UAT!$A:$A,0)),"Not Run")</f>
        <v>Pass</v>
      </c>
      <c r="F25" s="7" t="str">
        <f>IFERROR(INDEX(UAT!$I:$I,MATCH(D25,UAT!$A:$A,0))&amp;"","")</f>
        <v/>
      </c>
    </row>
    <row r="26" spans="1:6" ht="25" x14ac:dyDescent="0.35">
      <c r="A26" s="7" t="s">
        <v>407</v>
      </c>
      <c r="B26" s="7" t="s">
        <v>423</v>
      </c>
      <c r="C26" s="7" t="s">
        <v>198</v>
      </c>
      <c r="D26" s="7" t="s">
        <v>392</v>
      </c>
      <c r="E26" s="7" t="str">
        <f>IFERROR(INDEX(UAT!$H:$H,MATCH(D26,UAT!$A:$A,0)),"Not Run")</f>
        <v>Pass</v>
      </c>
      <c r="F26" s="7" t="str">
        <f>IFERROR(INDEX(UAT!$I:$I,MATCH(D26,UAT!$A:$A,0))&amp;"","")</f>
        <v/>
      </c>
    </row>
  </sheetData>
  <autoFilter ref="A1:F26" xr:uid="{00000000-0009-0000-0000-000007000000}"/>
  <conditionalFormatting sqref="E2:E26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Stakeholders</vt:lpstr>
      <vt:lpstr>Requirements</vt:lpstr>
      <vt:lpstr>User Stories</vt:lpstr>
      <vt:lpstr>Jira Backlog</vt:lpstr>
      <vt:lpstr>Sprint Plan</vt:lpstr>
      <vt:lpstr>UAT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Vikash Verma</cp:lastModifiedBy>
  <cp:revision>0</cp:revision>
  <dcterms:created xsi:type="dcterms:W3CDTF">2026-10-08T05:37:10Z</dcterms:created>
  <dcterms:modified xsi:type="dcterms:W3CDTF">2026-10-13T06:35:29Z</dcterms:modified>
  <dc:language>en-US</dc:language>
</cp:coreProperties>
</file>